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&amp; Stats" sheetId="1" r:id="rId4"/>
    <sheet state="visible" name="Master Database" sheetId="2" r:id="rId5"/>
    <sheet state="visible" name="Active Programs" sheetId="3" r:id="rId6"/>
    <sheet state="visible" name="Cleanup Required" sheetId="4" r:id="rId7"/>
    <sheet state="visible" name="ROI Calculation Guide" sheetId="5" r:id="rId8"/>
  </sheets>
  <definedNames/>
  <calcPr/>
  <extLst>
    <ext uri="GoogleSheetsCustomDataVersion2">
      <go:sheetsCustomData xmlns:go="http://customooxmlschemas.google.com/" r:id="rId9" roundtripDataChecksum="+tPhUwGUQX72GPJ0l8ASuYIBhu5xRsgwW8/SUCYI3Z0="/>
    </ext>
  </extLst>
</workbook>
</file>

<file path=xl/sharedStrings.xml><?xml version="1.0" encoding="utf-8"?>
<sst xmlns="http://schemas.openxmlformats.org/spreadsheetml/2006/main" count="869" uniqueCount="349">
  <si>
    <t>ILLINOIS HIRING INCENTIVES DATABASE - EXECUTIVE SUMMARY</t>
  </si>
  <si>
    <t>CATEGORY</t>
  </si>
  <si>
    <t>COUNT</t>
  </si>
  <si>
    <t>PERCENTAGE</t>
  </si>
  <si>
    <t>ACTION REQUIRED</t>
  </si>
  <si>
    <t>Total Programs in Database</t>
  </si>
  <si>
    <t>100%</t>
  </si>
  <si>
    <t>Review all</t>
  </si>
  <si>
    <t>Active &amp; Ready to Use</t>
  </si>
  <si>
    <t>18.6%</t>
  </si>
  <si>
    <t>None - use as-is</t>
  </si>
  <si>
    <t>Duplicates to Remove</t>
  </si>
  <si>
    <t>DELETE from database</t>
  </si>
  <si>
    <t>Expired Programs</t>
  </si>
  <si>
    <t>9.3%</t>
  </si>
  <si>
    <t>ARCHIVE (may return if reauthorized)</t>
  </si>
  <si>
    <t>Hallucinations (Never Existed)</t>
  </si>
  <si>
    <t>2.3%</t>
  </si>
  <si>
    <t>DELETE immediately</t>
  </si>
  <si>
    <t>Missing Official Links</t>
  </si>
  <si>
    <t>23.3%</t>
  </si>
  <si>
    <t>Research URLs manually</t>
  </si>
  <si>
    <t>Non-Incentive Programs</t>
  </si>
  <si>
    <t>25.6%</t>
  </si>
  <si>
    <t>RECLASSIFY to different category</t>
  </si>
  <si>
    <t>Federal (No State Interface)</t>
  </si>
  <si>
    <t>MOVE to Federal-only list</t>
  </si>
  <si>
    <t>DATA QUALITY METRICS</t>
  </si>
  <si>
    <t>High Confidence Verification</t>
  </si>
  <si>
    <t>60.5%</t>
  </si>
  <si>
    <t>Programs with Official URLs</t>
  </si>
  <si>
    <t>76.7%</t>
  </si>
  <si>
    <t>CRITICAL NEXT STEPS</t>
  </si>
  <si>
    <t>1. Remove 8 duplicate programs</t>
  </si>
  <si>
    <t>See "Cleanup Required" tab</t>
  </si>
  <si>
    <t>2. Archive 4 expired WOTC programs</t>
  </si>
  <si>
    <t>Move to archive (may be reauthorized)</t>
  </si>
  <si>
    <t>3. Delete IL-002 hallucination</t>
  </si>
  <si>
    <t>Program never existed</t>
  </si>
  <si>
    <t>4. Fix ROI values for Federal Bonding</t>
  </si>
  <si>
    <t>Change $25K to $0 (insurance, not cash)</t>
  </si>
  <si>
    <t>5. Build dynamic SkillBridge calculator</t>
  </si>
  <si>
    <t>Replace static $52K value</t>
  </si>
  <si>
    <t>6. Research 10 missing URLs</t>
  </si>
  <si>
    <t>Manual lookup or deploy second agent</t>
  </si>
  <si>
    <t>7. Reclassify 11 non-incentive programs</t>
  </si>
  <si>
    <t>Move to separate category</t>
  </si>
  <si>
    <t>After cleanup:</t>
  </si>
  <si>
    <t>Expected Active Programs</t>
  </si>
  <si>
    <t>Ready for ROI tool</t>
  </si>
  <si>
    <t>ILLINOIS HIRING INCENTIVES - MASTER DATABASE</t>
  </si>
  <si>
    <t>Status Tags: ACTIVE=Ready to use | DUPLICATE=Remove | EXPIRED=Archive | HALLUCINATION=Delete | NON-INCENTIVE=Reclassify | MISSING-LINK=Research needed | FEDERAL=No state interaction</t>
  </si>
  <si>
    <t>Status_Tag</t>
  </si>
  <si>
    <t>Program_ID</t>
  </si>
  <si>
    <t>Program_Name</t>
  </si>
  <si>
    <t>Agency</t>
  </si>
  <si>
    <t>Claimed_Status</t>
  </si>
  <si>
    <t>Claimed_Max_Value</t>
  </si>
  <si>
    <t>Verified_Status</t>
  </si>
  <si>
    <t>Verified_Max_Value</t>
  </si>
  <si>
    <t>Status_Match</t>
  </si>
  <si>
    <t>Value_Match</t>
  </si>
  <si>
    <t>Official_Source_URL</t>
  </si>
  <si>
    <t>Confidence</t>
  </si>
  <si>
    <t>Notes</t>
  </si>
  <si>
    <t>Verified_Date</t>
  </si>
  <si>
    <t>ACTIVE</t>
  </si>
  <si>
    <t>IL-001</t>
  </si>
  <si>
    <t>Illinois Returning Citizens Hiring Tax Credit</t>
  </si>
  <si>
    <t>Illinois Department of Revenue</t>
  </si>
  <si>
    <t>Active</t>
  </si>
  <si>
    <t>$7,500</t>
  </si>
  <si>
    <t>Yes</t>
  </si>
  <si>
    <t>https://tax.illinois.gov/research/publications/bulletins/fy-2026-08.html</t>
  </si>
  <si>
    <t>High</t>
  </si>
  <si>
    <t>CRITICAL 2026 CHANGE: Now requires MyTax Illinois application starting Jan 1, 2026. $1M statewide cap.</t>
  </si>
  <si>
    <t>2026-01-19</t>
  </si>
  <si>
    <t>HALLUCINATION | MISSING-LINK</t>
  </si>
  <si>
    <t>IL-002</t>
  </si>
  <si>
    <t>Illinois SAFER Communities Act</t>
  </si>
  <si>
    <t>IL DCEO (Proposed)</t>
  </si>
  <si>
    <t>Expired/Failed</t>
  </si>
  <si>
    <t>Failed Legislation</t>
  </si>
  <si>
    <t>Unable to Verify</t>
  </si>
  <si>
    <t>Unable to find official sources</t>
  </si>
  <si>
    <t>Program never enacted. Proposed HB3491/SB1771 not passed. No official DCEO page exists.</t>
  </si>
  <si>
    <t>IL-003</t>
  </si>
  <si>
    <t>Illinois Enterprise Zone Jobs Tax Credit</t>
  </si>
  <si>
    <t>IL DCEO</t>
  </si>
  <si>
    <t>Unlimited ($500/employee)</t>
  </si>
  <si>
    <t>$500/employee (unlimited)</t>
  </si>
  <si>
    <t>https://dceo.illinois.gov/expandrelocate/incentives/taxassistance/enterprisezone.html</t>
  </si>
  <si>
    <t>Multiple EZ credits available. DUPLICATE: Same program as IL-009, IL-020, IL-023.</t>
  </si>
  <si>
    <t>EXPIRED</t>
  </si>
  <si>
    <t>IL-004</t>
  </si>
  <si>
    <t>Work Opportunity Tax Credit (WOTC) - Ex-Felons</t>
  </si>
  <si>
    <t>Illinois IDES / Federal</t>
  </si>
  <si>
    <t>INACTIVE - Expired 12/31/2025</t>
  </si>
  <si>
    <t>$2,400</t>
  </si>
  <si>
    <t>No - Claimed Active</t>
  </si>
  <si>
    <t>https://www.irs.gov/newsroom/the-work-opportunity-tax-credit-is-available-until-the-end-of-2025</t>
  </si>
  <si>
    <t>EXPIRED December 31, 2025. Pending Congressional reauthorization. Continue submitting forms.</t>
  </si>
  <si>
    <t>IL-005</t>
  </si>
  <si>
    <t>Federal Bonding Program</t>
  </si>
  <si>
    <t>US DOL / Illinois IDES</t>
  </si>
  <si>
    <t>$5,000 typical; $25,000 max</t>
  </si>
  <si>
    <t>Partial</t>
  </si>
  <si>
    <t>https://bonds4jobs.com/</t>
  </si>
  <si>
    <t>DUPLICATE: Same program as IL-011, IL-016. ONE Federal Bonding Program serves all populations.</t>
  </si>
  <si>
    <t>IL-006</t>
  </si>
  <si>
    <t>On-the-Job Training (OJT) Program - WIOA</t>
  </si>
  <si>
    <t>Local workNet Centers / CCWP</t>
  </si>
  <si>
    <t>$10,000-20,000 typical</t>
  </si>
  <si>
    <t>https://www.illinoisworknet.com/WIOA</t>
  </si>
  <si>
    <t>Medium</t>
  </si>
  <si>
    <t>DUPLICATE: Same WIOA OJT as IL-012, IL-017. Value varies widely by wage/duration.</t>
  </si>
  <si>
    <t>NON-INCENTIVE | MISSING-LINK</t>
  </si>
  <si>
    <t>IL-007</t>
  </si>
  <si>
    <t>Cook County Veterans Preference</t>
  </si>
  <si>
    <t>Cook County Human Resources</t>
  </si>
  <si>
    <t>Non-quantifiable</t>
  </si>
  <si>
    <t>Unable to find official Cook County source</t>
  </si>
  <si>
    <t>DUPLICATE of IL-013. NOT hiring incentive - government job preference only. Should be removed.</t>
  </si>
  <si>
    <t>IL-008</t>
  </si>
  <si>
    <t>Illinois Veterans Hiring Tax Credit (OEF/OIF/ODS)</t>
  </si>
  <si>
    <t>$5,000</t>
  </si>
  <si>
    <t>https://veterans.illinois.gov/services-benefits/entrepreneurship/tax-credit-programs.html</t>
  </si>
  <si>
    <t>OEF/OIF/ODS veterans only. Limited to employers with 50 or fewer employees.</t>
  </si>
  <si>
    <t>DUPLICATE</t>
  </si>
  <si>
    <t>IL-009</t>
  </si>
  <si>
    <t>Illinois Enterprise Zone Jobs Tax Credit (Veterans)</t>
  </si>
  <si>
    <t>$500/employee</t>
  </si>
  <si>
    <t>DUPLICATE of IL-003. Same Enterprise Zone program - does not distinguish by veteran status.</t>
  </si>
  <si>
    <t>IL-010</t>
  </si>
  <si>
    <t>WOTC - Veterans</t>
  </si>
  <si>
    <t>$9,600 (disabled veterans)</t>
  </si>
  <si>
    <t>WOTC EXPIRED December 31, 2025. Pending reauthorization.</t>
  </si>
  <si>
    <t>IL-011</t>
  </si>
  <si>
    <t>Federal Bonding Program (Veterans)</t>
  </si>
  <si>
    <t>$5,000 typical</t>
  </si>
  <si>
    <t>DUPLICATE of IL-005. Same Federal Bonding Program.</t>
  </si>
  <si>
    <t>IL-012</t>
  </si>
  <si>
    <t>OJT Program - Veterans Priority</t>
  </si>
  <si>
    <t>Local workNet Centers</t>
  </si>
  <si>
    <t>DUPLICATE of IL-006. Same WIOA OJT program, veterans receive priority.</t>
  </si>
  <si>
    <t>DUPLICATE | MISSING-LINK</t>
  </si>
  <si>
    <t>IL-013</t>
  </si>
  <si>
    <t>Cook County Veterans Preference (Employment)</t>
  </si>
  <si>
    <t>Cook County HR</t>
  </si>
  <si>
    <t>DUPLICATE of IL-007. NOT hiring incentive - Cook County government jobs only.</t>
  </si>
  <si>
    <t>IL-014</t>
  </si>
  <si>
    <t>WOTC - Vocational Rehabilitation Referrals</t>
  </si>
  <si>
    <t>https://www.irs.gov/businesses/small-businesses-self-employed/work-opportunity-tax-credit</t>
  </si>
  <si>
    <t>WOTC EXPIRED December 31, 2025.</t>
  </si>
  <si>
    <t>IL-015</t>
  </si>
  <si>
    <t>WOTC - SSI Recipients</t>
  </si>
  <si>
    <t>IL-016</t>
  </si>
  <si>
    <t>Federal Bonding Program (Disabilities)</t>
  </si>
  <si>
    <t>IL-017</t>
  </si>
  <si>
    <t>OJT Program - Disabilities Priority</t>
  </si>
  <si>
    <t>DUPLICATE of IL-006. Same WIOA OJT program.</t>
  </si>
  <si>
    <t>NON-INCENTIVE</t>
  </si>
  <si>
    <t>IL-018</t>
  </si>
  <si>
    <t>Disabled Access Credit (IRS Section 44)</t>
  </si>
  <si>
    <t>Internal Revenue Service</t>
  </si>
  <si>
    <t>https://www.irs.gov/businesses/small-businesses-self-employed/tax-benefits-for-businesses-who-have-employees-with-disabilities</t>
  </si>
  <si>
    <t>NOT hiring incentive - accessibility credit. Should be reclassified.</t>
  </si>
  <si>
    <t>IL-019</t>
  </si>
  <si>
    <t>Architectural Barrier Removal Deduction (IRS 190)</t>
  </si>
  <si>
    <t>$15,000</t>
  </si>
  <si>
    <t>NOT hiring incentive - accessibility deduction. Should be removed.</t>
  </si>
  <si>
    <t>IL-020</t>
  </si>
  <si>
    <t>Illinois Enterprise Zone Jobs Tax Credit (Disabilities)</t>
  </si>
  <si>
    <t>DUPLICATE of IL-003. Same Enterprise Zone program.</t>
  </si>
  <si>
    <t>IL-021</t>
  </si>
  <si>
    <t>Health Benefits for Workers with Disabilities (HBWD)</t>
  </si>
  <si>
    <t>IL Dept of Healthcare &amp; Family Services</t>
  </si>
  <si>
    <t>Unable to find current IL HFS source</t>
  </si>
  <si>
    <t>NOT hiring incentive - employee health benefit program. Should be removed.</t>
  </si>
  <si>
    <t>REVIEW</t>
  </si>
  <si>
    <t>IL-022</t>
  </si>
  <si>
    <t>Small Business Jobs Creation Tax Credit</t>
  </si>
  <si>
    <t>Active - Modified 2025-2032</t>
  </si>
  <si>
    <t>$2,500</t>
  </si>
  <si>
    <t>SB 1505 - IL General Assembly</t>
  </si>
  <si>
    <t>CRITICAL 2026 CHANGE: Now requires strict 35-hour/week minimum. Renewed through 2032.</t>
  </si>
  <si>
    <t>IL-023</t>
  </si>
  <si>
    <t>Chicago Enterprise Zones (6 zones ~30% of city)</t>
  </si>
  <si>
    <t>City of Chicago DCD</t>
  </si>
  <si>
    <t>Varies</t>
  </si>
  <si>
    <t>https://www.chicago.gov/city/en/depts/dcd.html</t>
  </si>
  <si>
    <t>DUPLICATE of IL-003. Geographic subset of Enterprise Zone program (Chicago only).</t>
  </si>
  <si>
    <t>IL-024</t>
  </si>
  <si>
    <t>Chicago Ex-Offender Utilization Bid Incentive</t>
  </si>
  <si>
    <t>Chicago Dept of Procurement Services</t>
  </si>
  <si>
    <t>0.5-1% bid advantage</t>
  </si>
  <si>
    <t>Unable to find current Chicago DPS source</t>
  </si>
  <si>
    <t>NOT hiring incentive - procurement preference. Should be reclassified.</t>
  </si>
  <si>
    <t>IL-025</t>
  </si>
  <si>
    <t>Illinois State Procurement - Veterans &amp; Ex-Offenders</t>
  </si>
  <si>
    <t>IL Chief Procurement Office</t>
  </si>
  <si>
    <t>Unable to find official IL CPO source</t>
  </si>
  <si>
    <t>NOT hiring incentive - procurement preference. Should be removed.</t>
  </si>
  <si>
    <t>IL-026</t>
  </si>
  <si>
    <t>Illinois BEP - Service-Disabled Veterans</t>
  </si>
  <si>
    <t>IL Dept of Central Mgmt Services</t>
  </si>
  <si>
    <t>Unable to find official IL CMS source</t>
  </si>
  <si>
    <t>IL-027</t>
  </si>
  <si>
    <t>Chicago Veteran-Owned Business Bid Incentives</t>
  </si>
  <si>
    <t>Chicago Dept of Procurement</t>
  </si>
  <si>
    <t>Unable to find current Chicago Procurement source</t>
  </si>
  <si>
    <t>IL-028</t>
  </si>
  <si>
    <t>Cook County Business Enterprise - Veteran-Owned</t>
  </si>
  <si>
    <t>Cook County Procurement</t>
  </si>
  <si>
    <t>FEDERAL</t>
  </si>
  <si>
    <t>IL-029</t>
  </si>
  <si>
    <t>DoD SkillBridge Program</t>
  </si>
  <si>
    <t>U.S. Department of Defense</t>
  </si>
  <si>
    <t>$52,000 (training value)</t>
  </si>
  <si>
    <t>https://skillbridge.osd.mil/</t>
  </si>
  <si>
    <t>Value is opportunity cost. DoD pays salary during training. No employer wage cost.</t>
  </si>
  <si>
    <t>IL-030</t>
  </si>
  <si>
    <t>VA Non-Paid Work Experience (NPWE)</t>
  </si>
  <si>
    <t>U.S. Department of Veterans Affairs</t>
  </si>
  <si>
    <t>Variable</t>
  </si>
  <si>
    <t>https://www.benefits.va.gov/vocrehab/employers.asp</t>
  </si>
  <si>
    <t>VA pays compensation. Employer gets free trial period with veteran.</t>
  </si>
  <si>
    <t>IL-031</t>
  </si>
  <si>
    <t>VA Special Employer Incentives (SEI)</t>
  </si>
  <si>
    <t>$10,000-15,000 typical</t>
  </si>
  <si>
    <t>Misleading</t>
  </si>
  <si>
    <t>$25,000 max requires $100K salary (unrealistic). Typical value much lower.</t>
  </si>
  <si>
    <t>MISSING-LINK</t>
  </si>
  <si>
    <t>IL-032</t>
  </si>
  <si>
    <t>Illinois DRS Job Coaching &amp; Supported Employment</t>
  </si>
  <si>
    <t>IL DHS Division of Rehab Services</t>
  </si>
  <si>
    <t>$7,715 (service value)</t>
  </si>
  <si>
    <t>Unable to find current IL DRS source</t>
  </si>
  <si>
    <t>Support service. DRS pays job coach. No direct payment to employer.</t>
  </si>
  <si>
    <t>IL-033</t>
  </si>
  <si>
    <t>VA On-the-Job Training (VR&amp;E)</t>
  </si>
  <si>
    <t>VA VR&amp;E program. Similar to IL-031.</t>
  </si>
  <si>
    <t>IL-034</t>
  </si>
  <si>
    <t>Illinois Ticket to Work Program</t>
  </si>
  <si>
    <t>Social Security Admin / IL DRS</t>
  </si>
  <si>
    <t>https://www.ssa.gov/work/tickettowork.html</t>
  </si>
  <si>
    <t>NOT hiring incentive - job placement service. Should be reclassified.</t>
  </si>
  <si>
    <t>IL-035</t>
  </si>
  <si>
    <t>Illinois Re-Entry Employment Service Program Support</t>
  </si>
  <si>
    <t>Illinois IDES</t>
  </si>
  <si>
    <t>https://ides.illinois.gov</t>
  </si>
  <si>
    <t>NOT hiring incentive - support services for job seekers. Should be reclassified.</t>
  </si>
  <si>
    <t>ACTIVE ILLINOIS HIRING INCENTIVES</t>
  </si>
  <si>
    <t>8 programs verified and ready to use</t>
  </si>
  <si>
    <t>PROGRAMS REQUIRING CLEANUP ACTION</t>
  </si>
  <si>
    <t>Category</t>
  </si>
  <si>
    <t>Action</t>
  </si>
  <si>
    <t>Program ID</t>
  </si>
  <si>
    <t>Program Name</t>
  </si>
  <si>
    <t>Reason</t>
  </si>
  <si>
    <t>HALLUCINATION</t>
  </si>
  <si>
    <t>Delete</t>
  </si>
  <si>
    <t>Program never enacted - bill failed to pass</t>
  </si>
  <si>
    <t>No official DCEO page exists</t>
  </si>
  <si>
    <t>Remove</t>
  </si>
  <si>
    <t>Duplicate entry - Enterprise Zone</t>
  </si>
  <si>
    <t>Duplicate entry - OJT Program</t>
  </si>
  <si>
    <t>Duplicate entry - Federal Bonding</t>
  </si>
  <si>
    <t>Duplicate entry - Cook County Veterans</t>
  </si>
  <si>
    <t>Archive</t>
  </si>
  <si>
    <t>WOTC expired 12/31/2025 - pending reauthorization</t>
  </si>
  <si>
    <t>Continue submitting forms</t>
  </si>
  <si>
    <t>Reclassify</t>
  </si>
  <si>
    <t>Not a hiring incentive - procurement preference or support service</t>
  </si>
  <si>
    <t>Federal program with no Illinois state entity interaction</t>
  </si>
  <si>
    <t>Move to Federal-only list</t>
  </si>
  <si>
    <t>ROI &amp; MAX VALUE CALCULATION REQUIREMENTS</t>
  </si>
  <si>
    <t>ISSUE</t>
  </si>
  <si>
    <t>PROGRAMS AFFECTED</t>
  </si>
  <si>
    <t>CURRENT VALUE</t>
  </si>
  <si>
    <t>REQUIRED FIX</t>
  </si>
  <si>
    <t>NEW CALCULATION</t>
  </si>
  <si>
    <t>Insurance listed as cash</t>
  </si>
  <si>
    <t>IL-005, IL-011, IL-016 (Federal Bonding)</t>
  </si>
  <si>
    <t>$25,000</t>
  </si>
  <si>
    <t>Change to $0 or separate column</t>
  </si>
  <si>
    <t>Insurance/Bonding Value = $25K (not ROI)</t>
  </si>
  <si>
    <t>Static opportunity cost</t>
  </si>
  <si>
    <t>IL-029 (DoD SkillBridge)</t>
  </si>
  <si>
    <t>$52,000 (static)</t>
  </si>
  <si>
    <t>Dynamic calculator required</t>
  </si>
  <si>
    <t>(Wage × Hours × Weeks) + (Taxes) + (Benefits)</t>
  </si>
  <si>
    <t>Service value as cash</t>
  </si>
  <si>
    <t>IL-032 (IL DRS Job Coaching)</t>
  </si>
  <si>
    <t>$7,715</t>
  </si>
  <si>
    <t>Change to $0 or service value</t>
  </si>
  <si>
    <t>Support service - no cash to employer</t>
  </si>
  <si>
    <t>Unrealistic max value</t>
  </si>
  <si>
    <t>IL-031 (VA Special Employer Incentives)</t>
  </si>
  <si>
    <t>$25,000 max</t>
  </si>
  <si>
    <t>Use typical value</t>
  </si>
  <si>
    <t>$10,000-15,000 typical (max requires $100K+ salary)</t>
  </si>
  <si>
    <t>SKILLBRIDGE DYNAMIC CALCULATION</t>
  </si>
  <si>
    <t>Required Input</t>
  </si>
  <si>
    <t>Example Value</t>
  </si>
  <si>
    <t>Formula Component</t>
  </si>
  <si>
    <t>Hourly Wage</t>
  </si>
  <si>
    <t>$25/hour</t>
  </si>
  <si>
    <t>Wage × Hours × Weeks</t>
  </si>
  <si>
    <t>Training Hours/Week</t>
  </si>
  <si>
    <t>40 hours</t>
  </si>
  <si>
    <t>Included in wage calc</t>
  </si>
  <si>
    <t>Training Duration</t>
  </si>
  <si>
    <t>12 weeks</t>
  </si>
  <si>
    <t>Employer Payroll Tax Rate</t>
  </si>
  <si>
    <t>10%</t>
  </si>
  <si>
    <t>Wage Total × Tax Rate</t>
  </si>
  <si>
    <t>Benefits/Insurance per Hour</t>
  </si>
  <si>
    <t>$5/hour</t>
  </si>
  <si>
    <t>Benefits × Hours × Weeks</t>
  </si>
  <si>
    <t>EXAMPLE CALCULATION:</t>
  </si>
  <si>
    <t>Wage savings:</t>
  </si>
  <si>
    <t>$25 × 40 × 12 = $12,000</t>
  </si>
  <si>
    <t>Tax savings:</t>
  </si>
  <si>
    <t>$12,000 × 10% = $1,200</t>
  </si>
  <si>
    <t>Benefits savings:</t>
  </si>
  <si>
    <t>$5 × 40 × 12 = $2,400</t>
  </si>
  <si>
    <t>TOTAL ROI VALUE:</t>
  </si>
  <si>
    <t>$15,600</t>
  </si>
  <si>
    <t>RECOMMENDED NEW COLUMNS</t>
  </si>
  <si>
    <t>Column Name</t>
  </si>
  <si>
    <t>Purpose</t>
  </si>
  <si>
    <t>Data Type</t>
  </si>
  <si>
    <t>Example</t>
  </si>
  <si>
    <t>Cash Incentive Value</t>
  </si>
  <si>
    <t>Tax credits, grants received</t>
  </si>
  <si>
    <t>Currency</t>
  </si>
  <si>
    <t>Opportunity Cost Value</t>
  </si>
  <si>
    <t>Wage/tax savings from free labor</t>
  </si>
  <si>
    <t>Currency (calculated)</t>
  </si>
  <si>
    <t>Insurance/Bonding Value</t>
  </si>
  <si>
    <t>Policy limits (separate from ROI)</t>
  </si>
  <si>
    <t>Support Services Value</t>
  </si>
  <si>
    <t>Job coaching, placement services</t>
  </si>
  <si>
    <t>Text</t>
  </si>
  <si>
    <t>Job coaching service</t>
  </si>
  <si>
    <t>Total ROI Value</t>
  </si>
  <si>
    <t>Cash + Opportunity only</t>
  </si>
  <si>
    <t>Formula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</si>
</sst>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u/>
      <sz val="11.0"/>
      <color rgb="FF0000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2CC"/>
        <bgColor rgb="FFFFF2CC"/>
      </patternFill>
    </fill>
    <fill>
      <patternFill patternType="solid">
        <fgColor rgb="FF366092"/>
        <bgColor rgb="FF366092"/>
      </patternFill>
    </fill>
    <fill>
      <patternFill patternType="solid">
        <fgColor rgb="FFFFEB9C"/>
        <bgColor rgb="FFFFEB9C"/>
      </patternFill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1" fillId="4" fontId="2" numFmtId="0" xfId="0" applyAlignment="1" applyBorder="1" applyFill="1" applyFont="1">
      <alignment shrinkToFit="0" vertical="center" wrapText="0"/>
    </xf>
    <xf borderId="1" fillId="5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0" fillId="0" fontId="5" numFmtId="0" xfId="0" applyFont="1"/>
    <xf borderId="1" fillId="0" fontId="2" numFmtId="0" xfId="0" applyAlignment="1" applyBorder="1" applyFont="1">
      <alignment shrinkToFit="0" vertical="center" wrapText="0"/>
    </xf>
    <xf borderId="1" fillId="6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7" fontId="2" numFmtId="0" xfId="0" applyAlignment="1" applyBorder="1" applyFill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3" fontId="3" numFmtId="0" xfId="0" applyAlignment="1" applyBorder="1" applyFont="1">
      <alignment shrinkToFit="0" vertical="center" wrapText="0"/>
    </xf>
    <xf borderId="1" fillId="3" fontId="2" numFmtId="0" xfId="0" applyAlignment="1" applyBorder="1" applyFont="1">
      <alignment shrinkToFit="0" vertical="center" wrapText="0"/>
    </xf>
    <xf borderId="1" fillId="6" fontId="2" numFmtId="0" xfId="0" applyAlignment="1" applyBorder="1" applyFont="1">
      <alignment shrinkToFit="0" vertical="center" wrapText="0"/>
    </xf>
    <xf borderId="1" fillId="4" fontId="2" numFmtId="0" xfId="0" applyAlignment="1" applyBorder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4" fontId="3" numFmtId="0" xfId="0" applyBorder="1" applyFont="1"/>
    <xf borderId="0" fillId="0" fontId="5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Summary &amp; Sta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ster Databa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tive Progra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eanup Requir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I Calculation Guid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D17" displayName="Program_Status_Metrics" name="Program_Status_Metrics" id="1">
  <tableColumns count="4">
    <tableColumn name="CATEGORY" id="1"/>
    <tableColumn name="COUNT" id="2"/>
    <tableColumn name="PERCENTAGE" id="3"/>
    <tableColumn name="ACTION REQUIRED" id="4"/>
  </tableColumns>
  <tableStyleInfo name="Summary &amp; Stats-style" showColumnStripes="0" showFirstColumn="1" showLastColumn="1" showRowStripes="1"/>
</table>
</file>

<file path=xl/tables/table2.xml><?xml version="1.0" encoding="utf-8"?>
<table xmlns="http://schemas.openxmlformats.org/spreadsheetml/2006/main" ref="A4:N39" displayName="Program_Status_Review" name="Program_Status_Review" id="2">
  <tableColumns count="14">
    <tableColumn name="Status_Tag" id="1"/>
    <tableColumn name="Program_ID" id="2"/>
    <tableColumn name="Program_Name" id="3"/>
    <tableColumn name="Agency" id="4"/>
    <tableColumn name="Claimed_Status" id="5"/>
    <tableColumn name="Claimed_Max_Value" id="6"/>
    <tableColumn name="Verified_Status" id="7"/>
    <tableColumn name="Verified_Max_Value" id="8"/>
    <tableColumn name="Status_Match" id="9"/>
    <tableColumn name="Value_Match" id="10"/>
    <tableColumn name="Official_Source_URL" id="11"/>
    <tableColumn name="Confidence" id="12"/>
    <tableColumn name="Notes" id="13"/>
    <tableColumn name="Verified_Date" id="14"/>
  </tableColumns>
  <tableStyleInfo name="Master Database-style" showColumnStripes="0" showFirstColumn="1" showLastColumn="1" showRowStripes="1"/>
</table>
</file>

<file path=xl/tables/table3.xml><?xml version="1.0" encoding="utf-8"?>
<table xmlns="http://schemas.openxmlformats.org/spreadsheetml/2006/main" ref="A4:M12" displayName="Illinois_Incentive_Programs" name="Illinois_Incentive_Programs" id="3">
  <tableColumns count="13">
    <tableColumn name="Program_ID" id="1"/>
    <tableColumn name="Program_Name" id="2"/>
    <tableColumn name="Agency" id="3"/>
    <tableColumn name="Claimed_Status" id="4"/>
    <tableColumn name="Claimed_Max_Value" id="5"/>
    <tableColumn name="Verified_Status" id="6"/>
    <tableColumn name="Verified_Max_Value" id="7"/>
    <tableColumn name="Status_Match" id="8"/>
    <tableColumn name="Value_Match" id="9"/>
    <tableColumn name="Official_Source_URL" id="10"/>
    <tableColumn name="Confidence" id="11"/>
    <tableColumn name="Notes" id="12"/>
    <tableColumn name="Verified_Date" id="13"/>
  </tableColumns>
  <tableStyleInfo name="Active Programs-style" showColumnStripes="0" showFirstColumn="1" showLastColumn="1" showRowStripes="1"/>
</table>
</file>

<file path=xl/tables/table4.xml><?xml version="1.0" encoding="utf-8"?>
<table xmlns="http://schemas.openxmlformats.org/spreadsheetml/2006/main" ref="A3:F28" displayName="Program_Review_Actions" name="Program_Review_Actions" id="4">
  <tableColumns count="6">
    <tableColumn name="Category" id="1"/>
    <tableColumn name="Action" id="2"/>
    <tableColumn name="Program ID" id="3"/>
    <tableColumn name="Program Name" id="4"/>
    <tableColumn name="Reason" id="5"/>
    <tableColumn name="Notes" id="6"/>
  </tableColumns>
  <tableStyleInfo name="Cleanup Required-style" showColumnStripes="0" showFirstColumn="1" showLastColumn="1" showRowStripes="1"/>
</table>
</file>

<file path=xl/tables/table5.xml><?xml version="1.0" encoding="utf-8"?>
<table xmlns="http://schemas.openxmlformats.org/spreadsheetml/2006/main" ref="A6:E17" displayName="ROI_Calculation_Inputs" name="ROI_Calculation_Inputs" id="5">
  <tableColumns count="5">
    <tableColumn name="Insurance listed as cash" id="1"/>
    <tableColumn name="IL-005, IL-011, IL-016 (Federal Bonding)" id="2"/>
    <tableColumn name="$25,000" id="3"/>
    <tableColumn name="Change to $0 or separate column" id="4"/>
    <tableColumn name="Insurance/Bonding Value = $25K (not ROI)" id="5"/>
  </tableColumns>
  <tableStyleInfo name="ROI Calculation Guid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rs.gov/businesses/small-businesses-self-employed/work-opportunity-tax-credit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7.0"/>
    <col customWidth="1" min="3" max="3" width="15.0"/>
    <col customWidth="1" min="4" max="4" width="50.0"/>
    <col customWidth="1" min="5" max="26" width="8.71"/>
  </cols>
  <sheetData>
    <row r="1">
      <c r="A1" s="1" t="s">
        <v>0</v>
      </c>
    </row>
    <row r="3">
      <c r="A3" s="2"/>
      <c r="B3" s="2"/>
      <c r="C3" s="2"/>
      <c r="D3" s="2"/>
    </row>
    <row r="4" ht="22.5" customHeight="1">
      <c r="A4" s="3" t="s">
        <v>1</v>
      </c>
      <c r="B4" s="3" t="s">
        <v>2</v>
      </c>
      <c r="C4" s="3" t="s">
        <v>3</v>
      </c>
      <c r="D4" s="3" t="s">
        <v>4</v>
      </c>
    </row>
    <row r="5" ht="22.5" customHeight="1">
      <c r="A5" s="4"/>
      <c r="B5" s="5"/>
      <c r="C5" s="4"/>
      <c r="D5" s="4"/>
    </row>
    <row r="6" ht="22.5" customHeight="1">
      <c r="A6" s="4" t="s">
        <v>5</v>
      </c>
      <c r="B6" s="5">
        <v>43.0</v>
      </c>
      <c r="C6" s="6" t="s">
        <v>6</v>
      </c>
      <c r="D6" s="4" t="s">
        <v>7</v>
      </c>
    </row>
    <row r="7" ht="22.5" customHeight="1">
      <c r="A7" s="4" t="s">
        <v>8</v>
      </c>
      <c r="B7" s="5">
        <v>8.0</v>
      </c>
      <c r="C7" s="7" t="s">
        <v>9</v>
      </c>
      <c r="D7" s="4" t="s">
        <v>10</v>
      </c>
    </row>
    <row r="8" ht="22.5" customHeight="1">
      <c r="A8" s="4" t="s">
        <v>11</v>
      </c>
      <c r="B8" s="5">
        <v>8.0</v>
      </c>
      <c r="C8" s="7" t="s">
        <v>9</v>
      </c>
      <c r="D8" s="4" t="s">
        <v>12</v>
      </c>
    </row>
    <row r="9" ht="22.5" customHeight="1">
      <c r="A9" s="4" t="s">
        <v>13</v>
      </c>
      <c r="B9" s="5">
        <v>4.0</v>
      </c>
      <c r="C9" s="7" t="s">
        <v>14</v>
      </c>
      <c r="D9" s="4" t="s">
        <v>15</v>
      </c>
    </row>
    <row r="10" ht="22.5" customHeight="1">
      <c r="A10" s="4" t="s">
        <v>16</v>
      </c>
      <c r="B10" s="5">
        <v>1.0</v>
      </c>
      <c r="C10" s="7" t="s">
        <v>17</v>
      </c>
      <c r="D10" s="4" t="s">
        <v>18</v>
      </c>
    </row>
    <row r="11" ht="22.5" customHeight="1">
      <c r="A11" s="4" t="s">
        <v>19</v>
      </c>
      <c r="B11" s="5">
        <v>10.0</v>
      </c>
      <c r="C11" s="8" t="s">
        <v>20</v>
      </c>
      <c r="D11" s="4" t="s">
        <v>21</v>
      </c>
    </row>
    <row r="12" ht="22.5" customHeight="1">
      <c r="A12" s="4" t="s">
        <v>22</v>
      </c>
      <c r="B12" s="5">
        <v>11.0</v>
      </c>
      <c r="C12" s="8" t="s">
        <v>23</v>
      </c>
      <c r="D12" s="4" t="s">
        <v>24</v>
      </c>
    </row>
    <row r="13" ht="22.5" customHeight="1">
      <c r="A13" s="4" t="s">
        <v>25</v>
      </c>
      <c r="B13" s="5">
        <v>1.0</v>
      </c>
      <c r="C13" s="7" t="s">
        <v>17</v>
      </c>
      <c r="D13" s="4" t="s">
        <v>26</v>
      </c>
    </row>
    <row r="14" ht="22.5" customHeight="1">
      <c r="A14" s="4"/>
      <c r="B14" s="5"/>
      <c r="C14" s="4"/>
      <c r="D14" s="4"/>
    </row>
    <row r="15" ht="22.5" customHeight="1">
      <c r="A15" s="9" t="s">
        <v>27</v>
      </c>
      <c r="B15" s="5"/>
      <c r="C15" s="4"/>
      <c r="D15" s="4"/>
    </row>
    <row r="16" ht="22.5" customHeight="1">
      <c r="A16" s="4" t="s">
        <v>28</v>
      </c>
      <c r="B16" s="5">
        <v>26.0</v>
      </c>
      <c r="C16" s="6" t="s">
        <v>29</v>
      </c>
      <c r="D16" s="4"/>
    </row>
    <row r="17" ht="22.5" customHeight="1">
      <c r="A17" s="4" t="s">
        <v>30</v>
      </c>
      <c r="B17" s="5">
        <v>33.0</v>
      </c>
      <c r="C17" s="6" t="s">
        <v>31</v>
      </c>
      <c r="D17" s="4"/>
    </row>
    <row r="18">
      <c r="A18" s="2"/>
      <c r="B18" s="2"/>
      <c r="C18" s="2"/>
      <c r="D18" s="2"/>
    </row>
    <row r="19">
      <c r="A19" s="10" t="s">
        <v>32</v>
      </c>
      <c r="B19" s="2"/>
      <c r="C19" s="2"/>
      <c r="D19" s="2"/>
    </row>
    <row r="20">
      <c r="A20" s="11" t="s">
        <v>33</v>
      </c>
      <c r="B20" s="2"/>
      <c r="C20" s="2"/>
      <c r="D20" s="2" t="s">
        <v>34</v>
      </c>
    </row>
    <row r="21" ht="15.75" customHeight="1">
      <c r="A21" s="11" t="s">
        <v>35</v>
      </c>
      <c r="B21" s="2"/>
      <c r="C21" s="2"/>
      <c r="D21" s="2" t="s">
        <v>36</v>
      </c>
    </row>
    <row r="22" ht="15.75" customHeight="1">
      <c r="A22" s="11" t="s">
        <v>37</v>
      </c>
      <c r="B22" s="2"/>
      <c r="C22" s="2"/>
      <c r="D22" s="2" t="s">
        <v>38</v>
      </c>
    </row>
    <row r="23" ht="15.75" customHeight="1">
      <c r="A23" s="11" t="s">
        <v>39</v>
      </c>
      <c r="B23" s="2"/>
      <c r="C23" s="2"/>
      <c r="D23" s="2" t="s">
        <v>40</v>
      </c>
    </row>
    <row r="24" ht="15.75" customHeight="1">
      <c r="A24" s="11" t="s">
        <v>41</v>
      </c>
      <c r="B24" s="2"/>
      <c r="C24" s="2"/>
      <c r="D24" s="2" t="s">
        <v>42</v>
      </c>
    </row>
    <row r="25" ht="15.75" customHeight="1">
      <c r="A25" s="11" t="s">
        <v>43</v>
      </c>
      <c r="B25" s="2"/>
      <c r="C25" s="2"/>
      <c r="D25" s="2" t="s">
        <v>44</v>
      </c>
    </row>
    <row r="26" ht="15.75" customHeight="1">
      <c r="A26" s="11" t="s">
        <v>45</v>
      </c>
      <c r="B26" s="2"/>
      <c r="C26" s="2"/>
      <c r="D26" s="2" t="s">
        <v>46</v>
      </c>
    </row>
    <row r="27" ht="15.75" customHeight="1">
      <c r="A27" s="2"/>
      <c r="B27" s="2"/>
      <c r="C27" s="2"/>
      <c r="D27" s="2"/>
    </row>
    <row r="28" ht="15.75" customHeight="1">
      <c r="A28" s="2" t="s">
        <v>47</v>
      </c>
      <c r="B28" s="2"/>
      <c r="C28" s="2"/>
      <c r="D28" s="2"/>
    </row>
    <row r="29" ht="15.75" customHeight="1">
      <c r="A29" s="2" t="s">
        <v>48</v>
      </c>
      <c r="B29" s="2">
        <v>8.0</v>
      </c>
      <c r="C29" s="2" t="s">
        <v>49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ataValidations>
    <dataValidation type="custom" allowBlank="1" showDropDown="1" sqref="B5:B17">
      <formula1>AND(ISNUMBER(B5),(NOT(OR(NOT(ISERROR(DATEVALUE(B5))), AND(ISNUMBER(B5), LEFT(CELL("format", B5))="D")))))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29"/>
    <col customWidth="1" min="2" max="2" width="12.14"/>
    <col customWidth="1" min="3" max="3" width="45.0"/>
    <col customWidth="1" min="4" max="4" width="35.0"/>
    <col customWidth="1" min="5" max="5" width="19.0"/>
    <col customWidth="1" min="6" max="6" width="26.14"/>
    <col customWidth="1" min="7" max="7" width="29.0"/>
    <col customWidth="1" min="8" max="8" width="26.43"/>
    <col customWidth="1" min="9" max="9" width="23.57"/>
    <col customWidth="1" min="10" max="10" width="20.57"/>
    <col customWidth="1" min="11" max="11" width="43.0"/>
    <col customWidth="1" min="12" max="12" width="15.71"/>
    <col customWidth="1" min="13" max="13" width="43.0"/>
    <col customWidth="1" min="14" max="14" width="13.0"/>
    <col customWidth="1" min="15" max="26" width="8.71"/>
  </cols>
  <sheetData>
    <row r="1">
      <c r="A1" s="1" t="s">
        <v>50</v>
      </c>
    </row>
    <row r="2">
      <c r="A2" s="12" t="s">
        <v>51</v>
      </c>
    </row>
    <row r="4" ht="22.5" customHeight="1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  <c r="H4" s="3" t="s">
        <v>59</v>
      </c>
      <c r="I4" s="3" t="s">
        <v>60</v>
      </c>
      <c r="J4" s="3" t="s">
        <v>61</v>
      </c>
      <c r="K4" s="3" t="s">
        <v>62</v>
      </c>
      <c r="L4" s="3" t="s">
        <v>63</v>
      </c>
      <c r="M4" s="3" t="s">
        <v>64</v>
      </c>
      <c r="N4" s="3" t="s">
        <v>65</v>
      </c>
    </row>
    <row r="5" ht="22.5" customHeight="1">
      <c r="A5" s="6" t="s">
        <v>66</v>
      </c>
      <c r="B5" s="4" t="s">
        <v>67</v>
      </c>
      <c r="C5" s="4" t="s">
        <v>68</v>
      </c>
      <c r="D5" s="4" t="s">
        <v>69</v>
      </c>
      <c r="E5" s="13" t="s">
        <v>70</v>
      </c>
      <c r="F5" s="4">
        <v>7500.0</v>
      </c>
      <c r="G5" s="4" t="s">
        <v>70</v>
      </c>
      <c r="H5" s="4" t="s">
        <v>71</v>
      </c>
      <c r="I5" s="13" t="s">
        <v>72</v>
      </c>
      <c r="J5" s="13" t="s">
        <v>72</v>
      </c>
      <c r="K5" s="4" t="s">
        <v>73</v>
      </c>
      <c r="L5" s="13" t="s">
        <v>74</v>
      </c>
      <c r="M5" s="4" t="s">
        <v>75</v>
      </c>
      <c r="N5" s="4" t="s">
        <v>76</v>
      </c>
    </row>
    <row r="6" ht="22.5" customHeight="1">
      <c r="A6" s="7" t="s">
        <v>77</v>
      </c>
      <c r="B6" s="4" t="s">
        <v>78</v>
      </c>
      <c r="C6" s="4" t="s">
        <v>79</v>
      </c>
      <c r="D6" s="4" t="s">
        <v>80</v>
      </c>
      <c r="E6" s="13" t="s">
        <v>81</v>
      </c>
      <c r="F6" s="4">
        <v>17500.0</v>
      </c>
      <c r="G6" s="4" t="s">
        <v>82</v>
      </c>
      <c r="H6" s="4"/>
      <c r="I6" s="13" t="s">
        <v>72</v>
      </c>
      <c r="J6" s="13" t="s">
        <v>83</v>
      </c>
      <c r="K6" s="4" t="s">
        <v>84</v>
      </c>
      <c r="L6" s="13" t="s">
        <v>74</v>
      </c>
      <c r="M6" s="4" t="s">
        <v>85</v>
      </c>
      <c r="N6" s="4" t="s">
        <v>76</v>
      </c>
    </row>
    <row r="7" ht="22.5" customHeight="1">
      <c r="A7" s="6" t="s">
        <v>66</v>
      </c>
      <c r="B7" s="4" t="s">
        <v>86</v>
      </c>
      <c r="C7" s="4" t="s">
        <v>87</v>
      </c>
      <c r="D7" s="4" t="s">
        <v>88</v>
      </c>
      <c r="E7" s="13" t="s">
        <v>70</v>
      </c>
      <c r="F7" s="4" t="s">
        <v>89</v>
      </c>
      <c r="G7" s="4" t="s">
        <v>70</v>
      </c>
      <c r="H7" s="4" t="s">
        <v>90</v>
      </c>
      <c r="I7" s="13" t="s">
        <v>72</v>
      </c>
      <c r="J7" s="13" t="s">
        <v>72</v>
      </c>
      <c r="K7" s="4" t="s">
        <v>91</v>
      </c>
      <c r="L7" s="13" t="s">
        <v>74</v>
      </c>
      <c r="M7" s="4" t="s">
        <v>92</v>
      </c>
      <c r="N7" s="4" t="s">
        <v>76</v>
      </c>
    </row>
    <row r="8" ht="22.5" customHeight="1">
      <c r="A8" s="14" t="s">
        <v>93</v>
      </c>
      <c r="B8" s="4" t="s">
        <v>94</v>
      </c>
      <c r="C8" s="4" t="s">
        <v>95</v>
      </c>
      <c r="D8" s="4" t="s">
        <v>96</v>
      </c>
      <c r="E8" s="13" t="s">
        <v>70</v>
      </c>
      <c r="F8" s="4">
        <v>2400.0</v>
      </c>
      <c r="G8" s="4" t="s">
        <v>97</v>
      </c>
      <c r="H8" s="4" t="s">
        <v>98</v>
      </c>
      <c r="I8" s="13" t="s">
        <v>99</v>
      </c>
      <c r="J8" s="13" t="s">
        <v>72</v>
      </c>
      <c r="K8" s="4" t="s">
        <v>100</v>
      </c>
      <c r="L8" s="13" t="s">
        <v>74</v>
      </c>
      <c r="M8" s="4" t="s">
        <v>101</v>
      </c>
      <c r="N8" s="4" t="s">
        <v>76</v>
      </c>
    </row>
    <row r="9" ht="22.5" customHeight="1">
      <c r="A9" s="6" t="s">
        <v>66</v>
      </c>
      <c r="B9" s="4" t="s">
        <v>102</v>
      </c>
      <c r="C9" s="4" t="s">
        <v>103</v>
      </c>
      <c r="D9" s="4" t="s">
        <v>104</v>
      </c>
      <c r="E9" s="13" t="s">
        <v>70</v>
      </c>
      <c r="F9" s="4">
        <v>25000.0</v>
      </c>
      <c r="G9" s="4" t="s">
        <v>70</v>
      </c>
      <c r="H9" s="4" t="s">
        <v>105</v>
      </c>
      <c r="I9" s="13" t="s">
        <v>72</v>
      </c>
      <c r="J9" s="13" t="s">
        <v>106</v>
      </c>
      <c r="K9" s="4" t="s">
        <v>107</v>
      </c>
      <c r="L9" s="13" t="s">
        <v>74</v>
      </c>
      <c r="M9" s="4" t="s">
        <v>108</v>
      </c>
      <c r="N9" s="4" t="s">
        <v>76</v>
      </c>
    </row>
    <row r="10" ht="22.5" customHeight="1">
      <c r="A10" s="6" t="s">
        <v>66</v>
      </c>
      <c r="B10" s="4" t="s">
        <v>109</v>
      </c>
      <c r="C10" s="4" t="s">
        <v>110</v>
      </c>
      <c r="D10" s="4" t="s">
        <v>111</v>
      </c>
      <c r="E10" s="13" t="s">
        <v>70</v>
      </c>
      <c r="F10" s="4">
        <v>20800.0</v>
      </c>
      <c r="G10" s="4" t="s">
        <v>70</v>
      </c>
      <c r="H10" s="4" t="s">
        <v>112</v>
      </c>
      <c r="I10" s="13" t="s">
        <v>72</v>
      </c>
      <c r="J10" s="13" t="s">
        <v>106</v>
      </c>
      <c r="K10" s="4" t="s">
        <v>113</v>
      </c>
      <c r="L10" s="13" t="s">
        <v>114</v>
      </c>
      <c r="M10" s="4" t="s">
        <v>115</v>
      </c>
      <c r="N10" s="4" t="s">
        <v>76</v>
      </c>
    </row>
    <row r="11" ht="22.5" customHeight="1">
      <c r="A11" s="8" t="s">
        <v>116</v>
      </c>
      <c r="B11" s="4" t="s">
        <v>117</v>
      </c>
      <c r="C11" s="4" t="s">
        <v>118</v>
      </c>
      <c r="D11" s="4" t="s">
        <v>119</v>
      </c>
      <c r="E11" s="13" t="s">
        <v>70</v>
      </c>
      <c r="F11" s="4" t="s">
        <v>120</v>
      </c>
      <c r="G11" s="4" t="s">
        <v>70</v>
      </c>
      <c r="H11" s="4"/>
      <c r="I11" s="13" t="s">
        <v>72</v>
      </c>
      <c r="J11" s="13"/>
      <c r="K11" s="4" t="s">
        <v>121</v>
      </c>
      <c r="L11" s="13" t="s">
        <v>74</v>
      </c>
      <c r="M11" s="4" t="s">
        <v>122</v>
      </c>
      <c r="N11" s="4" t="s">
        <v>76</v>
      </c>
    </row>
    <row r="12" ht="22.5" customHeight="1">
      <c r="A12" s="6" t="s">
        <v>66</v>
      </c>
      <c r="B12" s="4" t="s">
        <v>123</v>
      </c>
      <c r="C12" s="4" t="s">
        <v>124</v>
      </c>
      <c r="D12" s="4" t="s">
        <v>69</v>
      </c>
      <c r="E12" s="13" t="s">
        <v>70</v>
      </c>
      <c r="F12" s="4">
        <v>5000.0</v>
      </c>
      <c r="G12" s="4" t="s">
        <v>70</v>
      </c>
      <c r="H12" s="4" t="s">
        <v>125</v>
      </c>
      <c r="I12" s="13" t="s">
        <v>72</v>
      </c>
      <c r="J12" s="13" t="s">
        <v>72</v>
      </c>
      <c r="K12" s="4" t="s">
        <v>126</v>
      </c>
      <c r="L12" s="13" t="s">
        <v>74</v>
      </c>
      <c r="M12" s="4" t="s">
        <v>127</v>
      </c>
      <c r="N12" s="4" t="s">
        <v>76</v>
      </c>
    </row>
    <row r="13" ht="22.5" customHeight="1">
      <c r="A13" s="7" t="s">
        <v>128</v>
      </c>
      <c r="B13" s="4" t="s">
        <v>129</v>
      </c>
      <c r="C13" s="4" t="s">
        <v>130</v>
      </c>
      <c r="D13" s="4" t="s">
        <v>88</v>
      </c>
      <c r="E13" s="13" t="s">
        <v>70</v>
      </c>
      <c r="F13" s="4" t="s">
        <v>89</v>
      </c>
      <c r="G13" s="4" t="s">
        <v>70</v>
      </c>
      <c r="H13" s="4" t="s">
        <v>131</v>
      </c>
      <c r="I13" s="13" t="s">
        <v>72</v>
      </c>
      <c r="J13" s="13" t="s">
        <v>72</v>
      </c>
      <c r="K13" s="4" t="s">
        <v>91</v>
      </c>
      <c r="L13" s="13" t="s">
        <v>74</v>
      </c>
      <c r="M13" s="4" t="s">
        <v>132</v>
      </c>
      <c r="N13" s="4" t="s">
        <v>76</v>
      </c>
    </row>
    <row r="14" ht="22.5" customHeight="1">
      <c r="A14" s="14" t="s">
        <v>93</v>
      </c>
      <c r="B14" s="4" t="s">
        <v>133</v>
      </c>
      <c r="C14" s="4" t="s">
        <v>134</v>
      </c>
      <c r="D14" s="4" t="s">
        <v>96</v>
      </c>
      <c r="E14" s="13" t="s">
        <v>70</v>
      </c>
      <c r="F14" s="4">
        <v>9600.0</v>
      </c>
      <c r="G14" s="4" t="s">
        <v>97</v>
      </c>
      <c r="H14" s="4" t="s">
        <v>135</v>
      </c>
      <c r="I14" s="13" t="s">
        <v>99</v>
      </c>
      <c r="J14" s="13" t="s">
        <v>72</v>
      </c>
      <c r="K14" s="4" t="s">
        <v>100</v>
      </c>
      <c r="L14" s="13" t="s">
        <v>74</v>
      </c>
      <c r="M14" s="4" t="s">
        <v>136</v>
      </c>
      <c r="N14" s="4" t="s">
        <v>76</v>
      </c>
    </row>
    <row r="15" ht="22.5" customHeight="1">
      <c r="A15" s="7" t="s">
        <v>128</v>
      </c>
      <c r="B15" s="4" t="s">
        <v>137</v>
      </c>
      <c r="C15" s="4" t="s">
        <v>138</v>
      </c>
      <c r="D15" s="4" t="s">
        <v>104</v>
      </c>
      <c r="E15" s="13" t="s">
        <v>70</v>
      </c>
      <c r="F15" s="4">
        <v>25000.0</v>
      </c>
      <c r="G15" s="4" t="s">
        <v>70</v>
      </c>
      <c r="H15" s="4" t="s">
        <v>139</v>
      </c>
      <c r="I15" s="13" t="s">
        <v>72</v>
      </c>
      <c r="J15" s="13" t="s">
        <v>106</v>
      </c>
      <c r="K15" s="4" t="s">
        <v>107</v>
      </c>
      <c r="L15" s="13" t="s">
        <v>74</v>
      </c>
      <c r="M15" s="4" t="s">
        <v>140</v>
      </c>
      <c r="N15" s="4" t="s">
        <v>76</v>
      </c>
    </row>
    <row r="16" ht="22.5" customHeight="1">
      <c r="A16" s="7" t="s">
        <v>128</v>
      </c>
      <c r="B16" s="4" t="s">
        <v>141</v>
      </c>
      <c r="C16" s="4" t="s">
        <v>142</v>
      </c>
      <c r="D16" s="4" t="s">
        <v>143</v>
      </c>
      <c r="E16" s="13" t="s">
        <v>70</v>
      </c>
      <c r="F16" s="4">
        <v>20800.0</v>
      </c>
      <c r="G16" s="4" t="s">
        <v>70</v>
      </c>
      <c r="H16" s="4" t="s">
        <v>112</v>
      </c>
      <c r="I16" s="13" t="s">
        <v>72</v>
      </c>
      <c r="J16" s="13" t="s">
        <v>106</v>
      </c>
      <c r="K16" s="4" t="s">
        <v>113</v>
      </c>
      <c r="L16" s="13" t="s">
        <v>114</v>
      </c>
      <c r="M16" s="4" t="s">
        <v>144</v>
      </c>
      <c r="N16" s="4" t="s">
        <v>76</v>
      </c>
    </row>
    <row r="17" ht="22.5" customHeight="1">
      <c r="A17" s="7" t="s">
        <v>145</v>
      </c>
      <c r="B17" s="4" t="s">
        <v>146</v>
      </c>
      <c r="C17" s="4" t="s">
        <v>147</v>
      </c>
      <c r="D17" s="4" t="s">
        <v>148</v>
      </c>
      <c r="E17" s="13" t="s">
        <v>70</v>
      </c>
      <c r="F17" s="4" t="s">
        <v>120</v>
      </c>
      <c r="G17" s="4" t="s">
        <v>70</v>
      </c>
      <c r="H17" s="4"/>
      <c r="I17" s="13" t="s">
        <v>72</v>
      </c>
      <c r="J17" s="13"/>
      <c r="K17" s="4" t="s">
        <v>121</v>
      </c>
      <c r="L17" s="13" t="s">
        <v>74</v>
      </c>
      <c r="M17" s="4" t="s">
        <v>149</v>
      </c>
      <c r="N17" s="4" t="s">
        <v>76</v>
      </c>
    </row>
    <row r="18" ht="22.5" customHeight="1">
      <c r="A18" s="14" t="s">
        <v>93</v>
      </c>
      <c r="B18" s="4" t="s">
        <v>150</v>
      </c>
      <c r="C18" s="4" t="s">
        <v>151</v>
      </c>
      <c r="D18" s="4" t="s">
        <v>96</v>
      </c>
      <c r="E18" s="13" t="s">
        <v>70</v>
      </c>
      <c r="F18" s="4">
        <v>2400.0</v>
      </c>
      <c r="G18" s="4" t="s">
        <v>97</v>
      </c>
      <c r="H18" s="4" t="s">
        <v>98</v>
      </c>
      <c r="I18" s="13" t="s">
        <v>99</v>
      </c>
      <c r="J18" s="13" t="s">
        <v>72</v>
      </c>
      <c r="K18" s="15" t="s">
        <v>152</v>
      </c>
      <c r="L18" s="13" t="s">
        <v>74</v>
      </c>
      <c r="M18" s="4" t="s">
        <v>153</v>
      </c>
      <c r="N18" s="4" t="s">
        <v>76</v>
      </c>
    </row>
    <row r="19" ht="22.5" customHeight="1">
      <c r="A19" s="14" t="s">
        <v>93</v>
      </c>
      <c r="B19" s="4" t="s">
        <v>154</v>
      </c>
      <c r="C19" s="4" t="s">
        <v>155</v>
      </c>
      <c r="D19" s="4" t="s">
        <v>96</v>
      </c>
      <c r="E19" s="13" t="s">
        <v>70</v>
      </c>
      <c r="F19" s="4">
        <v>2400.0</v>
      </c>
      <c r="G19" s="4" t="s">
        <v>97</v>
      </c>
      <c r="H19" s="4" t="s">
        <v>98</v>
      </c>
      <c r="I19" s="13" t="s">
        <v>99</v>
      </c>
      <c r="J19" s="13" t="s">
        <v>72</v>
      </c>
      <c r="K19" s="4" t="s">
        <v>152</v>
      </c>
      <c r="L19" s="13" t="s">
        <v>74</v>
      </c>
      <c r="M19" s="4" t="s">
        <v>153</v>
      </c>
      <c r="N19" s="4" t="s">
        <v>76</v>
      </c>
    </row>
    <row r="20" ht="22.5" customHeight="1">
      <c r="A20" s="7" t="s">
        <v>128</v>
      </c>
      <c r="B20" s="4" t="s">
        <v>156</v>
      </c>
      <c r="C20" s="4" t="s">
        <v>157</v>
      </c>
      <c r="D20" s="4" t="s">
        <v>104</v>
      </c>
      <c r="E20" s="13" t="s">
        <v>70</v>
      </c>
      <c r="F20" s="4">
        <v>25000.0</v>
      </c>
      <c r="G20" s="4" t="s">
        <v>70</v>
      </c>
      <c r="H20" s="4" t="s">
        <v>139</v>
      </c>
      <c r="I20" s="13" t="s">
        <v>72</v>
      </c>
      <c r="J20" s="13" t="s">
        <v>106</v>
      </c>
      <c r="K20" s="4" t="s">
        <v>107</v>
      </c>
      <c r="L20" s="13" t="s">
        <v>74</v>
      </c>
      <c r="M20" s="4" t="s">
        <v>140</v>
      </c>
      <c r="N20" s="4" t="s">
        <v>76</v>
      </c>
    </row>
    <row r="21" ht="15.75" customHeight="1">
      <c r="A21" s="7" t="s">
        <v>128</v>
      </c>
      <c r="B21" s="4" t="s">
        <v>158</v>
      </c>
      <c r="C21" s="4" t="s">
        <v>159</v>
      </c>
      <c r="D21" s="4" t="s">
        <v>143</v>
      </c>
      <c r="E21" s="13" t="s">
        <v>70</v>
      </c>
      <c r="F21" s="4">
        <v>20800.0</v>
      </c>
      <c r="G21" s="4" t="s">
        <v>70</v>
      </c>
      <c r="H21" s="4" t="s">
        <v>112</v>
      </c>
      <c r="I21" s="13" t="s">
        <v>72</v>
      </c>
      <c r="J21" s="13" t="s">
        <v>106</v>
      </c>
      <c r="K21" s="4" t="s">
        <v>113</v>
      </c>
      <c r="L21" s="13" t="s">
        <v>114</v>
      </c>
      <c r="M21" s="4" t="s">
        <v>160</v>
      </c>
      <c r="N21" s="4" t="s">
        <v>76</v>
      </c>
    </row>
    <row r="22" ht="15.75" customHeight="1">
      <c r="A22" s="8" t="s">
        <v>161</v>
      </c>
      <c r="B22" s="4" t="s">
        <v>162</v>
      </c>
      <c r="C22" s="4" t="s">
        <v>163</v>
      </c>
      <c r="D22" s="4" t="s">
        <v>164</v>
      </c>
      <c r="E22" s="13" t="s">
        <v>70</v>
      </c>
      <c r="F22" s="4">
        <v>5000.0</v>
      </c>
      <c r="G22" s="4" t="s">
        <v>70</v>
      </c>
      <c r="H22" s="4" t="s">
        <v>125</v>
      </c>
      <c r="I22" s="13" t="s">
        <v>72</v>
      </c>
      <c r="J22" s="13" t="s">
        <v>72</v>
      </c>
      <c r="K22" s="4" t="s">
        <v>165</v>
      </c>
      <c r="L22" s="13" t="s">
        <v>74</v>
      </c>
      <c r="M22" s="4" t="s">
        <v>166</v>
      </c>
      <c r="N22" s="4" t="s">
        <v>76</v>
      </c>
    </row>
    <row r="23" ht="15.75" customHeight="1">
      <c r="A23" s="8" t="s">
        <v>161</v>
      </c>
      <c r="B23" s="4" t="s">
        <v>167</v>
      </c>
      <c r="C23" s="4" t="s">
        <v>168</v>
      </c>
      <c r="D23" s="4" t="s">
        <v>164</v>
      </c>
      <c r="E23" s="13" t="s">
        <v>70</v>
      </c>
      <c r="F23" s="4">
        <v>15000.0</v>
      </c>
      <c r="G23" s="4" t="s">
        <v>70</v>
      </c>
      <c r="H23" s="4" t="s">
        <v>169</v>
      </c>
      <c r="I23" s="13" t="s">
        <v>72</v>
      </c>
      <c r="J23" s="13" t="s">
        <v>72</v>
      </c>
      <c r="K23" s="4" t="s">
        <v>165</v>
      </c>
      <c r="L23" s="13" t="s">
        <v>74</v>
      </c>
      <c r="M23" s="4" t="s">
        <v>170</v>
      </c>
      <c r="N23" s="4" t="s">
        <v>76</v>
      </c>
    </row>
    <row r="24" ht="15.75" customHeight="1">
      <c r="A24" s="7" t="s">
        <v>128</v>
      </c>
      <c r="B24" s="4" t="s">
        <v>171</v>
      </c>
      <c r="C24" s="4" t="s">
        <v>172</v>
      </c>
      <c r="D24" s="4" t="s">
        <v>88</v>
      </c>
      <c r="E24" s="13" t="s">
        <v>70</v>
      </c>
      <c r="F24" s="4" t="s">
        <v>89</v>
      </c>
      <c r="G24" s="4" t="s">
        <v>70</v>
      </c>
      <c r="H24" s="4" t="s">
        <v>131</v>
      </c>
      <c r="I24" s="13" t="s">
        <v>72</v>
      </c>
      <c r="J24" s="13" t="s">
        <v>72</v>
      </c>
      <c r="K24" s="4" t="s">
        <v>91</v>
      </c>
      <c r="L24" s="13" t="s">
        <v>74</v>
      </c>
      <c r="M24" s="4" t="s">
        <v>173</v>
      </c>
      <c r="N24" s="4" t="s">
        <v>76</v>
      </c>
    </row>
    <row r="25" ht="15.75" customHeight="1">
      <c r="A25" s="8" t="s">
        <v>116</v>
      </c>
      <c r="B25" s="4" t="s">
        <v>174</v>
      </c>
      <c r="C25" s="4" t="s">
        <v>175</v>
      </c>
      <c r="D25" s="4" t="s">
        <v>176</v>
      </c>
      <c r="E25" s="13" t="s">
        <v>70</v>
      </c>
      <c r="F25" s="4" t="s">
        <v>120</v>
      </c>
      <c r="G25" s="4" t="s">
        <v>70</v>
      </c>
      <c r="H25" s="4"/>
      <c r="I25" s="13" t="s">
        <v>72</v>
      </c>
      <c r="J25" s="13"/>
      <c r="K25" s="4" t="s">
        <v>177</v>
      </c>
      <c r="L25" s="13" t="s">
        <v>74</v>
      </c>
      <c r="M25" s="4" t="s">
        <v>178</v>
      </c>
      <c r="N25" s="4" t="s">
        <v>76</v>
      </c>
    </row>
    <row r="26" ht="15.75" customHeight="1">
      <c r="A26" s="4" t="s">
        <v>179</v>
      </c>
      <c r="B26" s="4" t="s">
        <v>180</v>
      </c>
      <c r="C26" s="4" t="s">
        <v>181</v>
      </c>
      <c r="D26" s="4" t="s">
        <v>88</v>
      </c>
      <c r="E26" s="13" t="s">
        <v>70</v>
      </c>
      <c r="F26" s="4">
        <v>2500.0</v>
      </c>
      <c r="G26" s="4" t="s">
        <v>182</v>
      </c>
      <c r="H26" s="4" t="s">
        <v>183</v>
      </c>
      <c r="I26" s="13" t="s">
        <v>72</v>
      </c>
      <c r="J26" s="13" t="s">
        <v>72</v>
      </c>
      <c r="K26" s="4" t="s">
        <v>184</v>
      </c>
      <c r="L26" s="13" t="s">
        <v>74</v>
      </c>
      <c r="M26" s="4" t="s">
        <v>185</v>
      </c>
      <c r="N26" s="4" t="s">
        <v>76</v>
      </c>
    </row>
    <row r="27" ht="15.75" customHeight="1">
      <c r="A27" s="7" t="s">
        <v>128</v>
      </c>
      <c r="B27" s="4" t="s">
        <v>186</v>
      </c>
      <c r="C27" s="4" t="s">
        <v>187</v>
      </c>
      <c r="D27" s="4" t="s">
        <v>188</v>
      </c>
      <c r="E27" s="13" t="s">
        <v>70</v>
      </c>
      <c r="F27" s="4" t="s">
        <v>189</v>
      </c>
      <c r="G27" s="4" t="s">
        <v>70</v>
      </c>
      <c r="H27" s="4" t="s">
        <v>189</v>
      </c>
      <c r="I27" s="13" t="s">
        <v>72</v>
      </c>
      <c r="J27" s="13" t="s">
        <v>72</v>
      </c>
      <c r="K27" s="4" t="s">
        <v>190</v>
      </c>
      <c r="L27" s="13" t="s">
        <v>74</v>
      </c>
      <c r="M27" s="4" t="s">
        <v>191</v>
      </c>
      <c r="N27" s="4" t="s">
        <v>76</v>
      </c>
    </row>
    <row r="28" ht="15.75" customHeight="1">
      <c r="A28" s="8" t="s">
        <v>116</v>
      </c>
      <c r="B28" s="4" t="s">
        <v>192</v>
      </c>
      <c r="C28" s="4" t="s">
        <v>193</v>
      </c>
      <c r="D28" s="4" t="s">
        <v>194</v>
      </c>
      <c r="E28" s="13" t="s">
        <v>70</v>
      </c>
      <c r="F28" s="4" t="s">
        <v>195</v>
      </c>
      <c r="G28" s="4" t="s">
        <v>70</v>
      </c>
      <c r="H28" s="4" t="s">
        <v>195</v>
      </c>
      <c r="I28" s="13" t="s">
        <v>72</v>
      </c>
      <c r="J28" s="13" t="s">
        <v>72</v>
      </c>
      <c r="K28" s="4" t="s">
        <v>196</v>
      </c>
      <c r="L28" s="13" t="s">
        <v>114</v>
      </c>
      <c r="M28" s="4" t="s">
        <v>197</v>
      </c>
      <c r="N28" s="4" t="s">
        <v>76</v>
      </c>
    </row>
    <row r="29" ht="15.75" customHeight="1">
      <c r="A29" s="8" t="s">
        <v>116</v>
      </c>
      <c r="B29" s="4" t="s">
        <v>198</v>
      </c>
      <c r="C29" s="4" t="s">
        <v>199</v>
      </c>
      <c r="D29" s="4" t="s">
        <v>200</v>
      </c>
      <c r="E29" s="13" t="s">
        <v>70</v>
      </c>
      <c r="F29" s="4" t="s">
        <v>120</v>
      </c>
      <c r="G29" s="4" t="s">
        <v>70</v>
      </c>
      <c r="H29" s="4"/>
      <c r="I29" s="13" t="s">
        <v>72</v>
      </c>
      <c r="J29" s="13"/>
      <c r="K29" s="4" t="s">
        <v>201</v>
      </c>
      <c r="L29" s="13" t="s">
        <v>114</v>
      </c>
      <c r="M29" s="4" t="s">
        <v>202</v>
      </c>
      <c r="N29" s="4" t="s">
        <v>76</v>
      </c>
    </row>
    <row r="30" ht="15.75" customHeight="1">
      <c r="A30" s="8" t="s">
        <v>116</v>
      </c>
      <c r="B30" s="4" t="s">
        <v>203</v>
      </c>
      <c r="C30" s="4" t="s">
        <v>204</v>
      </c>
      <c r="D30" s="4" t="s">
        <v>205</v>
      </c>
      <c r="E30" s="13" t="s">
        <v>70</v>
      </c>
      <c r="F30" s="4" t="s">
        <v>120</v>
      </c>
      <c r="G30" s="4" t="s">
        <v>70</v>
      </c>
      <c r="H30" s="4"/>
      <c r="I30" s="13" t="s">
        <v>72</v>
      </c>
      <c r="J30" s="13"/>
      <c r="K30" s="4" t="s">
        <v>206</v>
      </c>
      <c r="L30" s="13" t="s">
        <v>114</v>
      </c>
      <c r="M30" s="4" t="s">
        <v>202</v>
      </c>
      <c r="N30" s="4" t="s">
        <v>76</v>
      </c>
    </row>
    <row r="31" ht="15.75" customHeight="1">
      <c r="A31" s="8" t="s">
        <v>116</v>
      </c>
      <c r="B31" s="4" t="s">
        <v>207</v>
      </c>
      <c r="C31" s="4" t="s">
        <v>208</v>
      </c>
      <c r="D31" s="4" t="s">
        <v>209</v>
      </c>
      <c r="E31" s="13" t="s">
        <v>70</v>
      </c>
      <c r="F31" s="4" t="s">
        <v>120</v>
      </c>
      <c r="G31" s="4" t="s">
        <v>70</v>
      </c>
      <c r="H31" s="4"/>
      <c r="I31" s="13" t="s">
        <v>72</v>
      </c>
      <c r="J31" s="13"/>
      <c r="K31" s="4" t="s">
        <v>210</v>
      </c>
      <c r="L31" s="13" t="s">
        <v>114</v>
      </c>
      <c r="M31" s="4" t="s">
        <v>202</v>
      </c>
      <c r="N31" s="4" t="s">
        <v>76</v>
      </c>
    </row>
    <row r="32" ht="15.75" customHeight="1">
      <c r="A32" s="8" t="s">
        <v>116</v>
      </c>
      <c r="B32" s="4" t="s">
        <v>211</v>
      </c>
      <c r="C32" s="4" t="s">
        <v>212</v>
      </c>
      <c r="D32" s="4" t="s">
        <v>213</v>
      </c>
      <c r="E32" s="13" t="s">
        <v>70</v>
      </c>
      <c r="F32" s="4" t="s">
        <v>120</v>
      </c>
      <c r="G32" s="4" t="s">
        <v>70</v>
      </c>
      <c r="H32" s="4"/>
      <c r="I32" s="13" t="s">
        <v>72</v>
      </c>
      <c r="J32" s="13"/>
      <c r="K32" s="4" t="s">
        <v>121</v>
      </c>
      <c r="L32" s="13" t="s">
        <v>114</v>
      </c>
      <c r="M32" s="4" t="s">
        <v>202</v>
      </c>
      <c r="N32" s="4" t="s">
        <v>76</v>
      </c>
    </row>
    <row r="33" ht="15.75" customHeight="1">
      <c r="A33" s="16" t="s">
        <v>214</v>
      </c>
      <c r="B33" s="4" t="s">
        <v>215</v>
      </c>
      <c r="C33" s="4" t="s">
        <v>216</v>
      </c>
      <c r="D33" s="4" t="s">
        <v>217</v>
      </c>
      <c r="E33" s="13" t="s">
        <v>70</v>
      </c>
      <c r="F33" s="4">
        <v>52000.0</v>
      </c>
      <c r="G33" s="4" t="s">
        <v>70</v>
      </c>
      <c r="H33" s="4" t="s">
        <v>218</v>
      </c>
      <c r="I33" s="13" t="s">
        <v>72</v>
      </c>
      <c r="J33" s="13" t="s">
        <v>106</v>
      </c>
      <c r="K33" s="4" t="s">
        <v>219</v>
      </c>
      <c r="L33" s="13" t="s">
        <v>74</v>
      </c>
      <c r="M33" s="4" t="s">
        <v>220</v>
      </c>
      <c r="N33" s="4" t="s">
        <v>76</v>
      </c>
    </row>
    <row r="34" ht="15.75" customHeight="1">
      <c r="A34" s="6" t="s">
        <v>66</v>
      </c>
      <c r="B34" s="4" t="s">
        <v>221</v>
      </c>
      <c r="C34" s="4" t="s">
        <v>222</v>
      </c>
      <c r="D34" s="4" t="s">
        <v>223</v>
      </c>
      <c r="E34" s="13" t="s">
        <v>70</v>
      </c>
      <c r="F34" s="4" t="s">
        <v>224</v>
      </c>
      <c r="G34" s="4" t="s">
        <v>70</v>
      </c>
      <c r="H34" s="4" t="s">
        <v>224</v>
      </c>
      <c r="I34" s="13" t="s">
        <v>72</v>
      </c>
      <c r="J34" s="13" t="s">
        <v>72</v>
      </c>
      <c r="K34" s="4" t="s">
        <v>225</v>
      </c>
      <c r="L34" s="13" t="s">
        <v>74</v>
      </c>
      <c r="M34" s="4" t="s">
        <v>226</v>
      </c>
      <c r="N34" s="4" t="s">
        <v>76</v>
      </c>
    </row>
    <row r="35" ht="15.75" customHeight="1">
      <c r="A35" s="6" t="s">
        <v>66</v>
      </c>
      <c r="B35" s="4" t="s">
        <v>227</v>
      </c>
      <c r="C35" s="4" t="s">
        <v>228</v>
      </c>
      <c r="D35" s="4" t="s">
        <v>223</v>
      </c>
      <c r="E35" s="13" t="s">
        <v>70</v>
      </c>
      <c r="F35" s="4">
        <v>25000.0</v>
      </c>
      <c r="G35" s="4" t="s">
        <v>70</v>
      </c>
      <c r="H35" s="4" t="s">
        <v>229</v>
      </c>
      <c r="I35" s="13" t="s">
        <v>72</v>
      </c>
      <c r="J35" s="13" t="s">
        <v>230</v>
      </c>
      <c r="K35" s="4" t="s">
        <v>225</v>
      </c>
      <c r="L35" s="13" t="s">
        <v>74</v>
      </c>
      <c r="M35" s="4" t="s">
        <v>231</v>
      </c>
      <c r="N35" s="4" t="s">
        <v>76</v>
      </c>
    </row>
    <row r="36" ht="15.75" customHeight="1">
      <c r="A36" s="8" t="s">
        <v>232</v>
      </c>
      <c r="B36" s="4" t="s">
        <v>233</v>
      </c>
      <c r="C36" s="4" t="s">
        <v>234</v>
      </c>
      <c r="D36" s="4" t="s">
        <v>235</v>
      </c>
      <c r="E36" s="13" t="s">
        <v>70</v>
      </c>
      <c r="F36" s="4">
        <v>7715.0</v>
      </c>
      <c r="G36" s="4" t="s">
        <v>70</v>
      </c>
      <c r="H36" s="4" t="s">
        <v>236</v>
      </c>
      <c r="I36" s="13" t="s">
        <v>72</v>
      </c>
      <c r="J36" s="13" t="s">
        <v>106</v>
      </c>
      <c r="K36" s="4" t="s">
        <v>237</v>
      </c>
      <c r="L36" s="13" t="s">
        <v>74</v>
      </c>
      <c r="M36" s="4" t="s">
        <v>238</v>
      </c>
      <c r="N36" s="4" t="s">
        <v>76</v>
      </c>
    </row>
    <row r="37" ht="15.75" customHeight="1">
      <c r="A37" s="6" t="s">
        <v>66</v>
      </c>
      <c r="B37" s="4" t="s">
        <v>239</v>
      </c>
      <c r="C37" s="4" t="s">
        <v>240</v>
      </c>
      <c r="D37" s="4" t="s">
        <v>223</v>
      </c>
      <c r="E37" s="13" t="s">
        <v>70</v>
      </c>
      <c r="F37" s="4" t="s">
        <v>224</v>
      </c>
      <c r="G37" s="4" t="s">
        <v>70</v>
      </c>
      <c r="H37" s="4" t="s">
        <v>224</v>
      </c>
      <c r="I37" s="13" t="s">
        <v>72</v>
      </c>
      <c r="J37" s="13" t="s">
        <v>72</v>
      </c>
      <c r="K37" s="4" t="s">
        <v>225</v>
      </c>
      <c r="L37" s="13" t="s">
        <v>74</v>
      </c>
      <c r="M37" s="4" t="s">
        <v>241</v>
      </c>
      <c r="N37" s="4" t="s">
        <v>76</v>
      </c>
    </row>
    <row r="38" ht="15.75" customHeight="1">
      <c r="A38" s="8" t="s">
        <v>161</v>
      </c>
      <c r="B38" s="4" t="s">
        <v>242</v>
      </c>
      <c r="C38" s="4" t="s">
        <v>243</v>
      </c>
      <c r="D38" s="4" t="s">
        <v>244</v>
      </c>
      <c r="E38" s="13" t="s">
        <v>70</v>
      </c>
      <c r="F38" s="4" t="s">
        <v>120</v>
      </c>
      <c r="G38" s="4" t="s">
        <v>70</v>
      </c>
      <c r="H38" s="4"/>
      <c r="I38" s="13" t="s">
        <v>72</v>
      </c>
      <c r="J38" s="13"/>
      <c r="K38" s="4" t="s">
        <v>245</v>
      </c>
      <c r="L38" s="13" t="s">
        <v>74</v>
      </c>
      <c r="M38" s="4" t="s">
        <v>246</v>
      </c>
      <c r="N38" s="4" t="s">
        <v>76</v>
      </c>
    </row>
    <row r="39" ht="15.75" customHeight="1">
      <c r="A39" s="8" t="s">
        <v>161</v>
      </c>
      <c r="B39" s="4" t="s">
        <v>247</v>
      </c>
      <c r="C39" s="4" t="s">
        <v>248</v>
      </c>
      <c r="D39" s="4" t="s">
        <v>249</v>
      </c>
      <c r="E39" s="13" t="s">
        <v>70</v>
      </c>
      <c r="F39" s="4" t="s">
        <v>120</v>
      </c>
      <c r="G39" s="4" t="s">
        <v>70</v>
      </c>
      <c r="H39" s="4"/>
      <c r="I39" s="13" t="s">
        <v>72</v>
      </c>
      <c r="J39" s="13"/>
      <c r="K39" s="4" t="s">
        <v>250</v>
      </c>
      <c r="L39" s="13" t="s">
        <v>114</v>
      </c>
      <c r="M39" s="4" t="s">
        <v>251</v>
      </c>
      <c r="N39" s="4" t="s">
        <v>76</v>
      </c>
    </row>
    <row r="40" ht="15.75" customHeight="1"/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dataValidations>
    <dataValidation type="list" allowBlank="1" showDropDown="1" showErrorMessage="1" sqref="J5:J39">
      <formula1>"Yes,Unable to Verify,Partial,Misleading"</formula1>
    </dataValidation>
    <dataValidation type="list" allowBlank="1" showDropDown="1" showErrorMessage="1" sqref="L5:L39">
      <formula1>"High,Medium"</formula1>
    </dataValidation>
    <dataValidation type="list" allowBlank="1" showDropDown="1" showErrorMessage="1" sqref="E5:E39">
      <formula1>"Active,Expired/Failed"</formula1>
    </dataValidation>
    <dataValidation type="list" allowBlank="1" showDropDown="1" showErrorMessage="1" sqref="I5:I39">
      <formula1>"Yes,No - Claimed Active"</formula1>
    </dataValidation>
  </dataValidations>
  <hyperlinks>
    <hyperlink r:id="rId1" ref="K18"/>
  </hyperlinks>
  <printOptions/>
  <pageMargins bottom="1.0" footer="0.0" header="0.0" left="0.75" right="0.75" top="1.0"/>
  <pageSetup orientation="landscape"/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14"/>
    <col customWidth="1" min="2" max="2" width="45.0"/>
    <col customWidth="1" min="3" max="3" width="35.0"/>
    <col customWidth="1" min="4" max="4" width="15.0"/>
    <col customWidth="1" min="5" max="5" width="26.14"/>
    <col customWidth="1" min="6" max="6" width="22.0"/>
    <col customWidth="1" min="7" max="7" width="26.43"/>
    <col customWidth="1" min="8" max="8" width="15.14"/>
    <col customWidth="1" min="9" max="9" width="15.0"/>
    <col customWidth="1" min="10" max="10" width="43.0"/>
    <col customWidth="1" min="11" max="11" width="15.71"/>
    <col customWidth="1" min="12" max="12" width="43.0"/>
    <col customWidth="1" min="13" max="13" width="13.0"/>
    <col customWidth="1" min="14" max="26" width="8.71"/>
  </cols>
  <sheetData>
    <row r="1">
      <c r="A1" s="1" t="s">
        <v>252</v>
      </c>
    </row>
    <row r="2">
      <c r="A2" s="12" t="s">
        <v>253</v>
      </c>
    </row>
    <row r="4" ht="22.5" customHeight="1">
      <c r="A4" s="3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62</v>
      </c>
      <c r="K4" s="3" t="s">
        <v>63</v>
      </c>
      <c r="L4" s="3" t="s">
        <v>64</v>
      </c>
      <c r="M4" s="3" t="s">
        <v>65</v>
      </c>
    </row>
    <row r="5" ht="22.5" customHeight="1">
      <c r="A5" s="17" t="s">
        <v>67</v>
      </c>
      <c r="B5" s="4" t="s">
        <v>68</v>
      </c>
      <c r="C5" s="4" t="s">
        <v>69</v>
      </c>
      <c r="D5" s="4" t="s">
        <v>70</v>
      </c>
      <c r="E5" s="4">
        <v>7500.0</v>
      </c>
      <c r="F5" s="4" t="s">
        <v>70</v>
      </c>
      <c r="G5" s="4" t="s">
        <v>71</v>
      </c>
      <c r="H5" s="4" t="s">
        <v>72</v>
      </c>
      <c r="I5" s="4" t="s">
        <v>72</v>
      </c>
      <c r="J5" s="4" t="s">
        <v>73</v>
      </c>
      <c r="K5" s="13" t="s">
        <v>74</v>
      </c>
      <c r="L5" s="4" t="s">
        <v>75</v>
      </c>
      <c r="M5" s="4" t="s">
        <v>76</v>
      </c>
    </row>
    <row r="6" ht="22.5" customHeight="1">
      <c r="A6" s="17" t="s">
        <v>86</v>
      </c>
      <c r="B6" s="4" t="s">
        <v>87</v>
      </c>
      <c r="C6" s="4" t="s">
        <v>88</v>
      </c>
      <c r="D6" s="4" t="s">
        <v>70</v>
      </c>
      <c r="E6" s="4" t="s">
        <v>89</v>
      </c>
      <c r="F6" s="4" t="s">
        <v>70</v>
      </c>
      <c r="G6" s="4" t="s">
        <v>90</v>
      </c>
      <c r="H6" s="4" t="s">
        <v>72</v>
      </c>
      <c r="I6" s="4" t="s">
        <v>72</v>
      </c>
      <c r="J6" s="4" t="s">
        <v>91</v>
      </c>
      <c r="K6" s="13" t="s">
        <v>74</v>
      </c>
      <c r="L6" s="4" t="s">
        <v>92</v>
      </c>
      <c r="M6" s="4" t="s">
        <v>76</v>
      </c>
    </row>
    <row r="7" ht="22.5" customHeight="1">
      <c r="A7" s="17" t="s">
        <v>102</v>
      </c>
      <c r="B7" s="4" t="s">
        <v>103</v>
      </c>
      <c r="C7" s="4" t="s">
        <v>104</v>
      </c>
      <c r="D7" s="4" t="s">
        <v>70</v>
      </c>
      <c r="E7" s="4">
        <v>25000.0</v>
      </c>
      <c r="F7" s="4" t="s">
        <v>70</v>
      </c>
      <c r="G7" s="4" t="s">
        <v>105</v>
      </c>
      <c r="H7" s="4" t="s">
        <v>72</v>
      </c>
      <c r="I7" s="4" t="s">
        <v>106</v>
      </c>
      <c r="J7" s="4" t="s">
        <v>107</v>
      </c>
      <c r="K7" s="13" t="s">
        <v>74</v>
      </c>
      <c r="L7" s="4" t="s">
        <v>108</v>
      </c>
      <c r="M7" s="4" t="s">
        <v>76</v>
      </c>
    </row>
    <row r="8" ht="22.5" customHeight="1">
      <c r="A8" s="17" t="s">
        <v>109</v>
      </c>
      <c r="B8" s="4" t="s">
        <v>110</v>
      </c>
      <c r="C8" s="4" t="s">
        <v>111</v>
      </c>
      <c r="D8" s="4" t="s">
        <v>70</v>
      </c>
      <c r="E8" s="4">
        <v>20800.0</v>
      </c>
      <c r="F8" s="4" t="s">
        <v>70</v>
      </c>
      <c r="G8" s="4" t="s">
        <v>112</v>
      </c>
      <c r="H8" s="4" t="s">
        <v>72</v>
      </c>
      <c r="I8" s="4" t="s">
        <v>106</v>
      </c>
      <c r="J8" s="4" t="s">
        <v>113</v>
      </c>
      <c r="K8" s="13" t="s">
        <v>114</v>
      </c>
      <c r="L8" s="4" t="s">
        <v>115</v>
      </c>
      <c r="M8" s="4" t="s">
        <v>76</v>
      </c>
    </row>
    <row r="9" ht="22.5" customHeight="1">
      <c r="A9" s="17" t="s">
        <v>123</v>
      </c>
      <c r="B9" s="4" t="s">
        <v>124</v>
      </c>
      <c r="C9" s="4" t="s">
        <v>69</v>
      </c>
      <c r="D9" s="4" t="s">
        <v>70</v>
      </c>
      <c r="E9" s="4">
        <v>5000.0</v>
      </c>
      <c r="F9" s="4" t="s">
        <v>70</v>
      </c>
      <c r="G9" s="4" t="s">
        <v>125</v>
      </c>
      <c r="H9" s="4" t="s">
        <v>72</v>
      </c>
      <c r="I9" s="4" t="s">
        <v>72</v>
      </c>
      <c r="J9" s="4" t="s">
        <v>126</v>
      </c>
      <c r="K9" s="13" t="s">
        <v>74</v>
      </c>
      <c r="L9" s="4" t="s">
        <v>127</v>
      </c>
      <c r="M9" s="4" t="s">
        <v>76</v>
      </c>
    </row>
    <row r="10" ht="22.5" customHeight="1">
      <c r="A10" s="17" t="s">
        <v>221</v>
      </c>
      <c r="B10" s="4" t="s">
        <v>222</v>
      </c>
      <c r="C10" s="4" t="s">
        <v>223</v>
      </c>
      <c r="D10" s="4" t="s">
        <v>70</v>
      </c>
      <c r="E10" s="4" t="s">
        <v>224</v>
      </c>
      <c r="F10" s="4" t="s">
        <v>70</v>
      </c>
      <c r="G10" s="4" t="s">
        <v>224</v>
      </c>
      <c r="H10" s="4" t="s">
        <v>72</v>
      </c>
      <c r="I10" s="4" t="s">
        <v>72</v>
      </c>
      <c r="J10" s="4" t="s">
        <v>225</v>
      </c>
      <c r="K10" s="13" t="s">
        <v>74</v>
      </c>
      <c r="L10" s="4" t="s">
        <v>226</v>
      </c>
      <c r="M10" s="4" t="s">
        <v>76</v>
      </c>
    </row>
    <row r="11" ht="22.5" customHeight="1">
      <c r="A11" s="17" t="s">
        <v>227</v>
      </c>
      <c r="B11" s="4" t="s">
        <v>228</v>
      </c>
      <c r="C11" s="4" t="s">
        <v>223</v>
      </c>
      <c r="D11" s="4" t="s">
        <v>70</v>
      </c>
      <c r="E11" s="4">
        <v>25000.0</v>
      </c>
      <c r="F11" s="4" t="s">
        <v>70</v>
      </c>
      <c r="G11" s="4" t="s">
        <v>229</v>
      </c>
      <c r="H11" s="4" t="s">
        <v>72</v>
      </c>
      <c r="I11" s="4" t="s">
        <v>230</v>
      </c>
      <c r="J11" s="4" t="s">
        <v>225</v>
      </c>
      <c r="K11" s="13" t="s">
        <v>74</v>
      </c>
      <c r="L11" s="4" t="s">
        <v>231</v>
      </c>
      <c r="M11" s="4" t="s">
        <v>76</v>
      </c>
    </row>
    <row r="12" ht="22.5" customHeight="1">
      <c r="A12" s="17" t="s">
        <v>239</v>
      </c>
      <c r="B12" s="4" t="s">
        <v>240</v>
      </c>
      <c r="C12" s="4" t="s">
        <v>223</v>
      </c>
      <c r="D12" s="4" t="s">
        <v>70</v>
      </c>
      <c r="E12" s="4" t="s">
        <v>224</v>
      </c>
      <c r="F12" s="4" t="s">
        <v>70</v>
      </c>
      <c r="G12" s="4" t="s">
        <v>224</v>
      </c>
      <c r="H12" s="4" t="s">
        <v>72</v>
      </c>
      <c r="I12" s="4" t="s">
        <v>72</v>
      </c>
      <c r="J12" s="4" t="s">
        <v>225</v>
      </c>
      <c r="K12" s="13" t="s">
        <v>74</v>
      </c>
      <c r="L12" s="4" t="s">
        <v>241</v>
      </c>
      <c r="M12" s="4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dataValidations>
    <dataValidation type="list" allowBlank="1" showDropDown="1" showErrorMessage="1" sqref="K5:K12">
      <formula1>"High,Medium"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3.0"/>
    <col customWidth="1" min="2" max="2" width="15.14"/>
    <col customWidth="1" min="3" max="3" width="12.0"/>
    <col customWidth="1" min="4" max="6" width="43.0"/>
    <col customWidth="1" min="7" max="26" width="8.71"/>
  </cols>
  <sheetData>
    <row r="1">
      <c r="A1" s="1" t="s">
        <v>254</v>
      </c>
    </row>
    <row r="3" ht="22.5" customHeight="1">
      <c r="A3" s="3" t="s">
        <v>255</v>
      </c>
      <c r="B3" s="3" t="s">
        <v>256</v>
      </c>
      <c r="C3" s="3" t="s">
        <v>257</v>
      </c>
      <c r="D3" s="3" t="s">
        <v>258</v>
      </c>
      <c r="E3" s="3" t="s">
        <v>259</v>
      </c>
      <c r="F3" s="3" t="s">
        <v>64</v>
      </c>
    </row>
    <row r="4" ht="22.5" customHeight="1">
      <c r="A4" s="18" t="s">
        <v>260</v>
      </c>
      <c r="B4" s="13" t="s">
        <v>261</v>
      </c>
      <c r="C4" s="4" t="s">
        <v>78</v>
      </c>
      <c r="D4" s="4" t="s">
        <v>79</v>
      </c>
      <c r="E4" s="4" t="s">
        <v>262</v>
      </c>
      <c r="F4" s="4" t="s">
        <v>263</v>
      </c>
    </row>
    <row r="5" ht="22.5" customHeight="1">
      <c r="A5" s="19" t="s">
        <v>128</v>
      </c>
      <c r="B5" s="13" t="s">
        <v>264</v>
      </c>
      <c r="C5" s="4" t="s">
        <v>129</v>
      </c>
      <c r="D5" s="4" t="s">
        <v>130</v>
      </c>
      <c r="E5" s="4" t="s">
        <v>265</v>
      </c>
      <c r="F5" s="4" t="s">
        <v>132</v>
      </c>
    </row>
    <row r="6" ht="22.5" customHeight="1">
      <c r="A6" s="19" t="s">
        <v>128</v>
      </c>
      <c r="B6" s="13" t="s">
        <v>264</v>
      </c>
      <c r="C6" s="4" t="s">
        <v>141</v>
      </c>
      <c r="D6" s="4" t="s">
        <v>142</v>
      </c>
      <c r="E6" s="4" t="s">
        <v>266</v>
      </c>
      <c r="F6" s="4" t="s">
        <v>144</v>
      </c>
    </row>
    <row r="7" ht="22.5" customHeight="1">
      <c r="A7" s="19" t="s">
        <v>128</v>
      </c>
      <c r="B7" s="13" t="s">
        <v>264</v>
      </c>
      <c r="C7" s="4" t="s">
        <v>137</v>
      </c>
      <c r="D7" s="4" t="s">
        <v>138</v>
      </c>
      <c r="E7" s="4" t="s">
        <v>267</v>
      </c>
      <c r="F7" s="4" t="s">
        <v>140</v>
      </c>
    </row>
    <row r="8" ht="22.5" customHeight="1">
      <c r="A8" s="19" t="s">
        <v>128</v>
      </c>
      <c r="B8" s="13" t="s">
        <v>264</v>
      </c>
      <c r="C8" s="4" t="s">
        <v>156</v>
      </c>
      <c r="D8" s="4" t="s">
        <v>157</v>
      </c>
      <c r="E8" s="4" t="s">
        <v>267</v>
      </c>
      <c r="F8" s="4" t="s">
        <v>140</v>
      </c>
    </row>
    <row r="9" ht="22.5" customHeight="1">
      <c r="A9" s="19" t="s">
        <v>128</v>
      </c>
      <c r="B9" s="13" t="s">
        <v>264</v>
      </c>
      <c r="C9" s="4" t="s">
        <v>158</v>
      </c>
      <c r="D9" s="4" t="s">
        <v>159</v>
      </c>
      <c r="E9" s="4" t="s">
        <v>266</v>
      </c>
      <c r="F9" s="4" t="s">
        <v>160</v>
      </c>
    </row>
    <row r="10" ht="22.5" customHeight="1">
      <c r="A10" s="19" t="s">
        <v>128</v>
      </c>
      <c r="B10" s="13" t="s">
        <v>264</v>
      </c>
      <c r="C10" s="4" t="s">
        <v>171</v>
      </c>
      <c r="D10" s="4" t="s">
        <v>172</v>
      </c>
      <c r="E10" s="4" t="s">
        <v>265</v>
      </c>
      <c r="F10" s="4" t="s">
        <v>173</v>
      </c>
    </row>
    <row r="11" ht="22.5" customHeight="1">
      <c r="A11" s="19" t="s">
        <v>128</v>
      </c>
      <c r="B11" s="13" t="s">
        <v>264</v>
      </c>
      <c r="C11" s="4" t="s">
        <v>146</v>
      </c>
      <c r="D11" s="4" t="s">
        <v>147</v>
      </c>
      <c r="E11" s="4" t="s">
        <v>268</v>
      </c>
      <c r="F11" s="4" t="s">
        <v>149</v>
      </c>
    </row>
    <row r="12" ht="22.5" customHeight="1">
      <c r="A12" s="19" t="s">
        <v>128</v>
      </c>
      <c r="B12" s="13" t="s">
        <v>264</v>
      </c>
      <c r="C12" s="4" t="s">
        <v>186</v>
      </c>
      <c r="D12" s="4" t="s">
        <v>187</v>
      </c>
      <c r="E12" s="4" t="s">
        <v>265</v>
      </c>
      <c r="F12" s="4" t="s">
        <v>191</v>
      </c>
    </row>
    <row r="13" ht="22.5" customHeight="1">
      <c r="A13" s="20" t="s">
        <v>93</v>
      </c>
      <c r="B13" s="13" t="s">
        <v>269</v>
      </c>
      <c r="C13" s="4" t="s">
        <v>94</v>
      </c>
      <c r="D13" s="4" t="s">
        <v>95</v>
      </c>
      <c r="E13" s="4" t="s">
        <v>270</v>
      </c>
      <c r="F13" s="4" t="s">
        <v>271</v>
      </c>
    </row>
    <row r="14" ht="22.5" customHeight="1">
      <c r="A14" s="20" t="s">
        <v>93</v>
      </c>
      <c r="B14" s="13" t="s">
        <v>269</v>
      </c>
      <c r="C14" s="4" t="s">
        <v>150</v>
      </c>
      <c r="D14" s="4" t="s">
        <v>151</v>
      </c>
      <c r="E14" s="4" t="s">
        <v>270</v>
      </c>
      <c r="F14" s="4" t="s">
        <v>271</v>
      </c>
    </row>
    <row r="15" ht="22.5" customHeight="1">
      <c r="A15" s="20" t="s">
        <v>93</v>
      </c>
      <c r="B15" s="13" t="s">
        <v>269</v>
      </c>
      <c r="C15" s="4" t="s">
        <v>133</v>
      </c>
      <c r="D15" s="4" t="s">
        <v>134</v>
      </c>
      <c r="E15" s="4" t="s">
        <v>270</v>
      </c>
      <c r="F15" s="4" t="s">
        <v>271</v>
      </c>
    </row>
    <row r="16" ht="22.5" customHeight="1">
      <c r="A16" s="20" t="s">
        <v>93</v>
      </c>
      <c r="B16" s="13" t="s">
        <v>269</v>
      </c>
      <c r="C16" s="4" t="s">
        <v>154</v>
      </c>
      <c r="D16" s="4" t="s">
        <v>155</v>
      </c>
      <c r="E16" s="4" t="s">
        <v>270</v>
      </c>
      <c r="F16" s="4" t="s">
        <v>271</v>
      </c>
    </row>
    <row r="17" ht="22.5" customHeight="1">
      <c r="A17" s="21" t="s">
        <v>161</v>
      </c>
      <c r="B17" s="13" t="s">
        <v>272</v>
      </c>
      <c r="C17" s="4" t="s">
        <v>117</v>
      </c>
      <c r="D17" s="4" t="s">
        <v>118</v>
      </c>
      <c r="E17" s="4" t="s">
        <v>273</v>
      </c>
      <c r="F17" s="4" t="s">
        <v>46</v>
      </c>
    </row>
    <row r="18" ht="22.5" customHeight="1">
      <c r="A18" s="21" t="s">
        <v>161</v>
      </c>
      <c r="B18" s="13" t="s">
        <v>272</v>
      </c>
      <c r="C18" s="4" t="s">
        <v>162</v>
      </c>
      <c r="D18" s="4" t="s">
        <v>163</v>
      </c>
      <c r="E18" s="4" t="s">
        <v>273</v>
      </c>
      <c r="F18" s="4" t="s">
        <v>46</v>
      </c>
    </row>
    <row r="19" ht="22.5" customHeight="1">
      <c r="A19" s="21" t="s">
        <v>161</v>
      </c>
      <c r="B19" s="13" t="s">
        <v>272</v>
      </c>
      <c r="C19" s="4" t="s">
        <v>167</v>
      </c>
      <c r="D19" s="4" t="s">
        <v>168</v>
      </c>
      <c r="E19" s="4" t="s">
        <v>273</v>
      </c>
      <c r="F19" s="4" t="s">
        <v>46</v>
      </c>
    </row>
    <row r="20" ht="22.5" customHeight="1">
      <c r="A20" s="21" t="s">
        <v>161</v>
      </c>
      <c r="B20" s="13" t="s">
        <v>272</v>
      </c>
      <c r="C20" s="4" t="s">
        <v>174</v>
      </c>
      <c r="D20" s="4" t="s">
        <v>175</v>
      </c>
      <c r="E20" s="4" t="s">
        <v>273</v>
      </c>
      <c r="F20" s="4" t="s">
        <v>46</v>
      </c>
    </row>
    <row r="21" ht="15.75" customHeight="1">
      <c r="A21" s="21" t="s">
        <v>161</v>
      </c>
      <c r="B21" s="13" t="s">
        <v>272</v>
      </c>
      <c r="C21" s="4" t="s">
        <v>192</v>
      </c>
      <c r="D21" s="4" t="s">
        <v>193</v>
      </c>
      <c r="E21" s="4" t="s">
        <v>273</v>
      </c>
      <c r="F21" s="4" t="s">
        <v>46</v>
      </c>
    </row>
    <row r="22" ht="15.75" customHeight="1">
      <c r="A22" s="21" t="s">
        <v>161</v>
      </c>
      <c r="B22" s="13" t="s">
        <v>272</v>
      </c>
      <c r="C22" s="4" t="s">
        <v>198</v>
      </c>
      <c r="D22" s="4" t="s">
        <v>199</v>
      </c>
      <c r="E22" s="4" t="s">
        <v>273</v>
      </c>
      <c r="F22" s="4" t="s">
        <v>46</v>
      </c>
    </row>
    <row r="23" ht="15.75" customHeight="1">
      <c r="A23" s="21" t="s">
        <v>161</v>
      </c>
      <c r="B23" s="13" t="s">
        <v>272</v>
      </c>
      <c r="C23" s="4" t="s">
        <v>203</v>
      </c>
      <c r="D23" s="4" t="s">
        <v>204</v>
      </c>
      <c r="E23" s="4" t="s">
        <v>273</v>
      </c>
      <c r="F23" s="4" t="s">
        <v>46</v>
      </c>
    </row>
    <row r="24" ht="15.75" customHeight="1">
      <c r="A24" s="21" t="s">
        <v>161</v>
      </c>
      <c r="B24" s="13" t="s">
        <v>272</v>
      </c>
      <c r="C24" s="4" t="s">
        <v>207</v>
      </c>
      <c r="D24" s="4" t="s">
        <v>208</v>
      </c>
      <c r="E24" s="4" t="s">
        <v>273</v>
      </c>
      <c r="F24" s="4" t="s">
        <v>46</v>
      </c>
    </row>
    <row r="25" ht="15.75" customHeight="1">
      <c r="A25" s="21" t="s">
        <v>161</v>
      </c>
      <c r="B25" s="13" t="s">
        <v>272</v>
      </c>
      <c r="C25" s="4" t="s">
        <v>211</v>
      </c>
      <c r="D25" s="4" t="s">
        <v>212</v>
      </c>
      <c r="E25" s="4" t="s">
        <v>273</v>
      </c>
      <c r="F25" s="4" t="s">
        <v>46</v>
      </c>
    </row>
    <row r="26" ht="15.75" customHeight="1">
      <c r="A26" s="21" t="s">
        <v>161</v>
      </c>
      <c r="B26" s="13" t="s">
        <v>272</v>
      </c>
      <c r="C26" s="4" t="s">
        <v>242</v>
      </c>
      <c r="D26" s="4" t="s">
        <v>243</v>
      </c>
      <c r="E26" s="4" t="s">
        <v>273</v>
      </c>
      <c r="F26" s="4" t="s">
        <v>46</v>
      </c>
    </row>
    <row r="27" ht="15.75" customHeight="1">
      <c r="A27" s="21" t="s">
        <v>161</v>
      </c>
      <c r="B27" s="13" t="s">
        <v>272</v>
      </c>
      <c r="C27" s="4" t="s">
        <v>247</v>
      </c>
      <c r="D27" s="4" t="s">
        <v>248</v>
      </c>
      <c r="E27" s="4" t="s">
        <v>273</v>
      </c>
      <c r="F27" s="4" t="s">
        <v>46</v>
      </c>
    </row>
    <row r="28" ht="15.75" customHeight="1">
      <c r="A28" s="21" t="s">
        <v>214</v>
      </c>
      <c r="B28" s="13" t="s">
        <v>272</v>
      </c>
      <c r="C28" s="4" t="s">
        <v>215</v>
      </c>
      <c r="D28" s="4" t="s">
        <v>216</v>
      </c>
      <c r="E28" s="4" t="s">
        <v>274</v>
      </c>
      <c r="F28" s="4" t="s">
        <v>275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ataValidations>
    <dataValidation type="list" allowBlank="1" showDropDown="1" showErrorMessage="1" sqref="A4:A28">
      <formula1>"HALLUCINATION,DUPLICATE,EXPIRED,NON-INCENTIVE,FEDERAL"</formula1>
    </dataValidation>
    <dataValidation type="list" allowBlank="1" showDropDown="1" showErrorMessage="1" sqref="B4:B28">
      <formula1>"Delete,Remove,Archive,Reclassify"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35.0"/>
    <col customWidth="1" min="3" max="3" width="25.0"/>
    <col customWidth="1" min="4" max="4" width="21.14"/>
    <col customWidth="1" min="5" max="5" width="43.0"/>
    <col customWidth="1" min="6" max="6" width="25.43"/>
    <col customWidth="1" min="7" max="7" width="17.43"/>
    <col customWidth="1" min="8" max="8" width="24.29"/>
    <col customWidth="1" min="9" max="9" width="29.14"/>
    <col customWidth="1" min="10" max="26" width="8.71"/>
  </cols>
  <sheetData>
    <row r="1">
      <c r="A1" s="1" t="s">
        <v>276</v>
      </c>
    </row>
    <row r="3">
      <c r="A3" s="2"/>
      <c r="B3" s="2"/>
      <c r="C3" s="2"/>
      <c r="D3" s="2"/>
      <c r="E3" s="2"/>
    </row>
    <row r="4">
      <c r="A4" s="10" t="s">
        <v>277</v>
      </c>
      <c r="B4" s="10" t="s">
        <v>278</v>
      </c>
      <c r="C4" s="10" t="s">
        <v>279</v>
      </c>
      <c r="D4" s="10" t="s">
        <v>280</v>
      </c>
      <c r="E4" s="10" t="s">
        <v>281</v>
      </c>
    </row>
    <row r="5">
      <c r="A5" s="2"/>
      <c r="B5" s="2"/>
      <c r="C5" s="2"/>
      <c r="D5" s="2"/>
      <c r="E5" s="2"/>
    </row>
    <row r="6" ht="22.5" customHeight="1">
      <c r="A6" s="22" t="s">
        <v>282</v>
      </c>
      <c r="B6" s="22" t="s">
        <v>283</v>
      </c>
      <c r="C6" s="22" t="s">
        <v>284</v>
      </c>
      <c r="D6" s="22" t="s">
        <v>285</v>
      </c>
      <c r="E6" s="22" t="s">
        <v>286</v>
      </c>
    </row>
    <row r="7" ht="22.5" customHeight="1">
      <c r="A7" s="4" t="s">
        <v>287</v>
      </c>
      <c r="B7" s="4" t="s">
        <v>288</v>
      </c>
      <c r="C7" s="4" t="s">
        <v>289</v>
      </c>
      <c r="D7" s="4" t="s">
        <v>290</v>
      </c>
      <c r="E7" s="4" t="s">
        <v>291</v>
      </c>
    </row>
    <row r="8" ht="22.5" customHeight="1">
      <c r="A8" s="4" t="s">
        <v>292</v>
      </c>
      <c r="B8" s="4" t="s">
        <v>293</v>
      </c>
      <c r="C8" s="4" t="s">
        <v>294</v>
      </c>
      <c r="D8" s="4" t="s">
        <v>295</v>
      </c>
      <c r="E8" s="4" t="s">
        <v>296</v>
      </c>
    </row>
    <row r="9" ht="22.5" customHeight="1">
      <c r="A9" s="4" t="s">
        <v>297</v>
      </c>
      <c r="B9" s="4" t="s">
        <v>298</v>
      </c>
      <c r="C9" s="4" t="s">
        <v>299</v>
      </c>
      <c r="D9" s="4" t="s">
        <v>300</v>
      </c>
      <c r="E9" s="4" t="s">
        <v>301</v>
      </c>
    </row>
    <row r="10" ht="22.5" customHeight="1">
      <c r="A10" s="4"/>
      <c r="B10" s="4"/>
      <c r="C10" s="4"/>
      <c r="D10" s="4"/>
      <c r="E10" s="4"/>
    </row>
    <row r="11" ht="22.5" customHeight="1">
      <c r="A11" s="9" t="s">
        <v>302</v>
      </c>
      <c r="B11" s="4"/>
      <c r="C11" s="4"/>
      <c r="D11" s="4"/>
      <c r="E11" s="4"/>
    </row>
    <row r="12" ht="22.5" customHeight="1">
      <c r="A12" s="4" t="s">
        <v>303</v>
      </c>
      <c r="B12" s="4" t="s">
        <v>304</v>
      </c>
      <c r="C12" s="4" t="s">
        <v>305</v>
      </c>
      <c r="D12" s="4"/>
      <c r="E12" s="4"/>
    </row>
    <row r="13" ht="22.5" customHeight="1">
      <c r="A13" s="4" t="s">
        <v>306</v>
      </c>
      <c r="B13" s="4" t="s">
        <v>307</v>
      </c>
      <c r="C13" s="4" t="s">
        <v>308</v>
      </c>
      <c r="D13" s="4"/>
      <c r="E13" s="4"/>
    </row>
    <row r="14" ht="22.5" customHeight="1">
      <c r="A14" s="4" t="s">
        <v>309</v>
      </c>
      <c r="B14" s="4" t="s">
        <v>310</v>
      </c>
      <c r="C14" s="4" t="s">
        <v>311</v>
      </c>
      <c r="D14" s="4"/>
      <c r="E14" s="4"/>
    </row>
    <row r="15" ht="22.5" customHeight="1">
      <c r="A15" s="4" t="s">
        <v>312</v>
      </c>
      <c r="B15" s="4" t="s">
        <v>313</v>
      </c>
      <c r="C15" s="4" t="s">
        <v>311</v>
      </c>
      <c r="D15" s="4"/>
      <c r="E15" s="4"/>
    </row>
    <row r="16" ht="22.5" customHeight="1">
      <c r="A16" s="4" t="s">
        <v>314</v>
      </c>
      <c r="B16" s="4" t="s">
        <v>315</v>
      </c>
      <c r="C16" s="4" t="s">
        <v>316</v>
      </c>
      <c r="D16" s="4"/>
      <c r="E16" s="4"/>
    </row>
    <row r="17" ht="22.5" customHeight="1">
      <c r="A17" s="4" t="s">
        <v>317</v>
      </c>
      <c r="B17" s="4" t="s">
        <v>318</v>
      </c>
      <c r="C17" s="4" t="s">
        <v>319</v>
      </c>
      <c r="D17" s="4"/>
      <c r="E17" s="4"/>
    </row>
    <row r="18">
      <c r="A18" s="2"/>
      <c r="B18" s="2"/>
      <c r="C18" s="2"/>
      <c r="D18" s="2"/>
      <c r="E18" s="2"/>
    </row>
    <row r="19">
      <c r="A19" s="10" t="s">
        <v>320</v>
      </c>
      <c r="B19" s="2"/>
      <c r="C19" s="2"/>
      <c r="D19" s="2"/>
      <c r="E19" s="2"/>
    </row>
    <row r="20">
      <c r="A20" s="2" t="s">
        <v>321</v>
      </c>
      <c r="B20" s="2" t="s">
        <v>322</v>
      </c>
      <c r="C20" s="2"/>
      <c r="D20" s="2"/>
      <c r="E20" s="2"/>
    </row>
    <row r="21" ht="15.75" customHeight="1">
      <c r="A21" s="2" t="s">
        <v>323</v>
      </c>
      <c r="B21" s="2" t="s">
        <v>324</v>
      </c>
      <c r="C21" s="2"/>
      <c r="D21" s="2"/>
      <c r="E21" s="2"/>
    </row>
    <row r="22" ht="15.75" customHeight="1">
      <c r="A22" s="2" t="s">
        <v>325</v>
      </c>
      <c r="B22" s="2" t="s">
        <v>326</v>
      </c>
      <c r="C22" s="2"/>
      <c r="D22" s="2"/>
      <c r="E22" s="2"/>
    </row>
    <row r="23" ht="15.75" customHeight="1">
      <c r="A23" s="23" t="s">
        <v>327</v>
      </c>
      <c r="B23" s="2" t="s">
        <v>328</v>
      </c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 t="s">
        <v>329</v>
      </c>
      <c r="B25" s="2"/>
      <c r="C25" s="2"/>
      <c r="D25" s="2"/>
      <c r="E25" s="2"/>
    </row>
    <row r="26" ht="15.75" customHeight="1">
      <c r="A26" s="2" t="s">
        <v>330</v>
      </c>
      <c r="B26" s="2" t="s">
        <v>331</v>
      </c>
      <c r="C26" s="2" t="s">
        <v>332</v>
      </c>
      <c r="D26" s="2" t="s">
        <v>333</v>
      </c>
      <c r="E26" s="2"/>
    </row>
    <row r="27" ht="15.75" customHeight="1">
      <c r="A27" s="2" t="s">
        <v>334</v>
      </c>
      <c r="B27" s="2" t="s">
        <v>335</v>
      </c>
      <c r="C27" s="2" t="s">
        <v>336</v>
      </c>
      <c r="D27" s="2" t="s">
        <v>71</v>
      </c>
      <c r="E27" s="2"/>
    </row>
    <row r="28" ht="15.75" customHeight="1">
      <c r="A28" s="2" t="s">
        <v>337</v>
      </c>
      <c r="B28" s="2" t="s">
        <v>338</v>
      </c>
      <c r="C28" s="2" t="s">
        <v>339</v>
      </c>
      <c r="D28" s="2" t="s">
        <v>328</v>
      </c>
      <c r="E28" s="2"/>
    </row>
    <row r="29" ht="15.75" customHeight="1">
      <c r="A29" s="2" t="s">
        <v>340</v>
      </c>
      <c r="B29" s="2" t="s">
        <v>341</v>
      </c>
      <c r="C29" s="2" t="s">
        <v>336</v>
      </c>
      <c r="D29" s="2" t="s">
        <v>284</v>
      </c>
      <c r="E29" s="2"/>
    </row>
    <row r="30" ht="15.75" customHeight="1">
      <c r="A30" s="2" t="s">
        <v>342</v>
      </c>
      <c r="B30" s="2" t="s">
        <v>343</v>
      </c>
      <c r="C30" s="2" t="s">
        <v>344</v>
      </c>
      <c r="D30" s="2" t="s">
        <v>345</v>
      </c>
      <c r="E30" s="2"/>
    </row>
    <row r="31" ht="15.75" customHeight="1">
      <c r="A31" s="2" t="s">
        <v>346</v>
      </c>
      <c r="B31" s="2" t="s">
        <v>347</v>
      </c>
      <c r="C31" s="2" t="s">
        <v>348</v>
      </c>
      <c r="D31" s="2" t="str">
        <f>D26 Cash + Opportunity</f>
        <v>#ERROR!</v>
      </c>
      <c r="E31" s="2"/>
    </row>
    <row r="32" ht="15.75" customHeight="1"/>
    <row r="33" ht="15.75" customHeight="1"/>
    <row r="34" ht="15.75" customHeight="1"/>
    <row r="35" ht="15.75" customHeight="1">
      <c r="B35" s="24"/>
      <c r="C35" s="24"/>
      <c r="D35" s="24"/>
      <c r="E35" s="24"/>
      <c r="F35" s="24"/>
      <c r="G35" s="24"/>
      <c r="H35" s="24"/>
      <c r="I35" s="24"/>
    </row>
    <row r="36" ht="15.75" customHeight="1">
      <c r="B36" s="24"/>
      <c r="C36" s="24"/>
      <c r="D36" s="24"/>
      <c r="E36" s="24"/>
      <c r="F36" s="24"/>
      <c r="G36" s="24"/>
      <c r="H36" s="24"/>
      <c r="I36" s="24"/>
    </row>
    <row r="37" ht="15.75" customHeight="1">
      <c r="B37" s="24"/>
      <c r="C37" s="24"/>
      <c r="D37" s="24"/>
      <c r="E37" s="24"/>
      <c r="F37" s="24"/>
      <c r="G37" s="24"/>
      <c r="H37" s="24"/>
      <c r="I37" s="24"/>
    </row>
    <row r="38" ht="15.75" customHeight="1">
      <c r="B38" s="24"/>
      <c r="C38" s="24"/>
      <c r="D38" s="24"/>
      <c r="E38" s="24"/>
      <c r="F38" s="24"/>
      <c r="G38" s="24"/>
      <c r="H38" s="24"/>
      <c r="I38" s="24"/>
    </row>
    <row r="39" ht="15.75" customHeight="1">
      <c r="B39" s="24"/>
      <c r="C39" s="24"/>
      <c r="D39" s="24"/>
      <c r="E39" s="24"/>
      <c r="F39" s="24"/>
      <c r="G39" s="24"/>
      <c r="H39" s="24"/>
      <c r="I39" s="24"/>
    </row>
    <row r="40" ht="15.75" customHeight="1">
      <c r="B40" s="24"/>
      <c r="C40" s="24"/>
      <c r="D40" s="24"/>
      <c r="E40" s="24"/>
      <c r="F40" s="24"/>
      <c r="G40" s="24"/>
      <c r="H40" s="24"/>
      <c r="I40" s="24"/>
    </row>
    <row r="41" ht="15.75" customHeight="1">
      <c r="B41" s="24"/>
      <c r="C41" s="24"/>
      <c r="D41" s="24"/>
      <c r="E41" s="24"/>
      <c r="F41" s="24"/>
      <c r="G41" s="24"/>
      <c r="H41" s="24"/>
      <c r="I41" s="24"/>
    </row>
    <row r="42" ht="15.75" customHeight="1">
      <c r="B42" s="24"/>
      <c r="C42" s="24"/>
      <c r="D42" s="24"/>
      <c r="E42" s="24"/>
      <c r="F42" s="24"/>
      <c r="G42" s="24"/>
      <c r="H42" s="24"/>
      <c r="I42" s="24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2026-01-21T19:53:09Z</dcterms:created>
  <dc:creator>openpyxl</dc:creator>
</cp:coreProperties>
</file>